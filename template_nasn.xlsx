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ttps://daeyangmis-my.sharepoint.com/personal/hya_daeyang_co_kr/Documents/바탕 화면/"/>
    </mc:Choice>
  </mc:AlternateContent>
  <xr:revisionPtr revIDLastSave="2" documentId="13_ncr:1_{71B63176-A84A-48B2-8D18-8F87EB35C161}" xr6:coauthVersionLast="47" xr6:coauthVersionMax="47" xr10:uidLastSave="{70C35755-E47C-44C3-A1F6-829EB69A4D29}"/>
  <bookViews>
    <workbookView xWindow="-108" yWindow="-108" windowWidth="23256" windowHeight="12456" xr2:uid="{00000000-000D-0000-FFFF-FFFF00000000}"/>
  </bookViews>
  <sheets>
    <sheet name="INVOICE " sheetId="5" r:id="rId1"/>
    <sheet name="Packing list" sheetId="6" r:id="rId2"/>
  </sheets>
  <definedNames>
    <definedName name="_xlnm.Print_Area" localSheetId="0">'INVOICE '!$A$1:$I$44</definedName>
    <definedName name="_xlnm.Print_Area" localSheetId="1">'Packing list'!$A$1:$I$38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5" l="1"/>
  <c r="F23" i="6" l="1"/>
  <c r="F8" i="6"/>
  <c r="I36" i="5"/>
  <c r="F19" i="6" l="1"/>
  <c r="F22" i="6" l="1"/>
  <c r="F16" i="6"/>
  <c r="F15" i="6"/>
  <c r="F14" i="6"/>
  <c r="F24" i="6" l="1"/>
  <c r="F36" i="5" s="1"/>
  <c r="H22" i="6"/>
  <c r="H23" i="6" l="1"/>
  <c r="E30" i="5"/>
  <c r="H24" i="6"/>
  <c r="F25" i="6"/>
  <c r="B19" i="6"/>
  <c r="H25" i="6" l="1"/>
  <c r="H26" i="6" s="1"/>
  <c r="H28" i="6" s="1"/>
  <c r="E32" i="5" s="1"/>
  <c r="G28" i="6"/>
  <c r="D36" i="5" s="1"/>
  <c r="F18" i="6"/>
</calcChain>
</file>

<file path=xl/sharedStrings.xml><?xml version="1.0" encoding="utf-8"?>
<sst xmlns="http://schemas.openxmlformats.org/spreadsheetml/2006/main" count="111" uniqueCount="84">
  <si>
    <t>SELLER/MANUFACTURER</t>
    <phoneticPr fontId="2" type="noConversion"/>
  </si>
  <si>
    <t>L/C NO.  &amp;  DATE</t>
    <phoneticPr fontId="2" type="noConversion"/>
  </si>
  <si>
    <t>P/O NO.  &amp;  DATE</t>
    <phoneticPr fontId="2" type="noConversion"/>
  </si>
  <si>
    <t>CONSIGNEE</t>
    <phoneticPr fontId="2" type="noConversion"/>
  </si>
  <si>
    <t>BUYER(NOTIFY PARTY)</t>
    <phoneticPr fontId="2" type="noConversion"/>
  </si>
  <si>
    <t xml:space="preserve">FROM  </t>
    <phoneticPr fontId="2" type="noConversion"/>
  </si>
  <si>
    <t>TERMS OF DELIVERY  &amp;  PAYMENT</t>
    <phoneticPr fontId="2" type="noConversion"/>
  </si>
  <si>
    <t>SHIPPING 
MARKS</t>
    <phoneticPr fontId="2" type="noConversion"/>
  </si>
  <si>
    <t>NO</t>
    <phoneticPr fontId="2" type="noConversion"/>
  </si>
  <si>
    <t xml:space="preserve">DESCRIPTION OF GOODS AND/OR SERVICE </t>
    <phoneticPr fontId="2" type="noConversion"/>
  </si>
  <si>
    <t>SIGNED BY</t>
    <phoneticPr fontId="2" type="noConversion"/>
  </si>
  <si>
    <t>Incheon, KOREA</t>
    <phoneticPr fontId="2" type="noConversion"/>
  </si>
  <si>
    <t>COUNTRY OF ORIGIN</t>
    <phoneticPr fontId="2" type="noConversion"/>
  </si>
  <si>
    <t>AMOUNT
(USD)</t>
    <phoneticPr fontId="2" type="noConversion"/>
  </si>
  <si>
    <t>DAEYANG ELECTRIC CO LTD</t>
    <phoneticPr fontId="2" type="noConversion"/>
  </si>
  <si>
    <t xml:space="preserve">16 Venture-ro 100beon-gil, Yeonsu-gu, </t>
    <phoneticPr fontId="2" type="noConversion"/>
  </si>
  <si>
    <t>TEL: +82 32 830 5520</t>
    <phoneticPr fontId="2" type="noConversion"/>
  </si>
  <si>
    <t>FAX: +82 32 830 5509</t>
    <phoneticPr fontId="2" type="noConversion"/>
  </si>
  <si>
    <t>KOREA</t>
    <phoneticPr fontId="2" type="noConversion"/>
  </si>
  <si>
    <t>Incheon, SOUTH KOREA. (22013)</t>
    <phoneticPr fontId="2" type="noConversion"/>
  </si>
  <si>
    <t>Shanghai Mingxuan International Trade CO., LTD</t>
    <phoneticPr fontId="2" type="noConversion"/>
  </si>
  <si>
    <t>e-mail : xucaini@shanghaimingxuan.com</t>
    <phoneticPr fontId="2" type="noConversion"/>
  </si>
  <si>
    <t xml:space="preserve">Room 1102,No.228 Ningguo Road, Yangpu District, </t>
    <phoneticPr fontId="2" type="noConversion"/>
  </si>
  <si>
    <t>Shanghai, China.</t>
    <phoneticPr fontId="2" type="noConversion"/>
  </si>
  <si>
    <t>Mobile: +86-18916480406</t>
    <phoneticPr fontId="2" type="noConversion"/>
  </si>
  <si>
    <r>
      <t>PIC:  徐彩</t>
    </r>
    <r>
      <rPr>
        <sz val="10"/>
        <rFont val="맑은 고딕 Semilight"/>
        <family val="3"/>
        <charset val="129"/>
      </rPr>
      <t>妮</t>
    </r>
    <r>
      <rPr>
        <sz val="10"/>
        <rFont val="굴림"/>
        <family val="3"/>
        <charset val="129"/>
      </rPr>
      <t>Annie</t>
    </r>
    <phoneticPr fontId="2" type="noConversion"/>
  </si>
  <si>
    <t>COMMERCIAL INVOICE</t>
    <phoneticPr fontId="2" type="noConversion"/>
  </si>
  <si>
    <t>VESSEL / FLIGHT : VESSEL</t>
    <phoneticPr fontId="2" type="noConversion"/>
  </si>
  <si>
    <t>PACKING LIST</t>
    <phoneticPr fontId="2" type="noConversion"/>
  </si>
  <si>
    <t>Description of Goods</t>
    <phoneticPr fontId="2" type="noConversion"/>
  </si>
  <si>
    <t>Unit</t>
    <phoneticPr fontId="2" type="noConversion"/>
  </si>
  <si>
    <t>Quantity</t>
    <phoneticPr fontId="2" type="noConversion"/>
  </si>
  <si>
    <t>Net
Weight
(g)</t>
    <phoneticPr fontId="2" type="noConversion"/>
  </si>
  <si>
    <t>Gross
Weight
(g)</t>
    <phoneticPr fontId="2" type="noConversion"/>
  </si>
  <si>
    <t>Remark</t>
    <phoneticPr fontId="2" type="noConversion"/>
  </si>
  <si>
    <t>ea</t>
    <phoneticPr fontId="2" type="noConversion"/>
  </si>
  <si>
    <t>PE Tray</t>
    <phoneticPr fontId="2" type="noConversion"/>
  </si>
  <si>
    <t>Pallet</t>
    <phoneticPr fontId="2" type="noConversion"/>
  </si>
  <si>
    <t>NASN Automotive Technology (Hangzhou) Co., Ltd.</t>
    <phoneticPr fontId="2" type="noConversion"/>
  </si>
  <si>
    <t xml:space="preserve">358 Hongxing Road, Building 1, </t>
    <phoneticPr fontId="2" type="noConversion"/>
  </si>
  <si>
    <t>Xiaoshan District, Hangzhou, Zhejiang, China</t>
    <phoneticPr fontId="2" type="noConversion"/>
  </si>
  <si>
    <t xml:space="preserve">FROM  </t>
    <phoneticPr fontId="2" type="noConversion"/>
  </si>
  <si>
    <t>TO</t>
    <phoneticPr fontId="2" type="noConversion"/>
  </si>
  <si>
    <t>Shanghai, China</t>
    <phoneticPr fontId="2" type="noConversion"/>
  </si>
  <si>
    <t>Category</t>
    <phoneticPr fontId="2" type="noConversion"/>
  </si>
  <si>
    <t>Q'TY
(EA)</t>
    <phoneticPr fontId="2" type="noConversion"/>
  </si>
  <si>
    <t>U/PRICE
(USD)</t>
    <phoneticPr fontId="2" type="noConversion"/>
  </si>
  <si>
    <t>Product</t>
    <phoneticPr fontId="2" type="noConversion"/>
  </si>
  <si>
    <t>Brand</t>
    <phoneticPr fontId="2" type="noConversion"/>
  </si>
  <si>
    <t>THE SEN</t>
    <phoneticPr fontId="2" type="noConversion"/>
  </si>
  <si>
    <t>Pallet</t>
    <phoneticPr fontId="2" type="noConversion"/>
  </si>
  <si>
    <t>ea</t>
    <phoneticPr fontId="2" type="noConversion"/>
  </si>
  <si>
    <t>MADE IN KOREA</t>
    <phoneticPr fontId="2" type="noConversion"/>
  </si>
  <si>
    <t>VESSEL</t>
    <phoneticPr fontId="2" type="noConversion"/>
  </si>
  <si>
    <t>Total gross weight</t>
    <phoneticPr fontId="2" type="noConversion"/>
  </si>
  <si>
    <t>Packing</t>
    <phoneticPr fontId="2" type="noConversion"/>
  </si>
  <si>
    <t>No</t>
    <phoneticPr fontId="2" type="noConversion"/>
  </si>
  <si>
    <t>Packing type</t>
    <phoneticPr fontId="2" type="noConversion"/>
  </si>
  <si>
    <t>Dimension
L X W X H (cm)</t>
    <phoneticPr fontId="2" type="noConversion"/>
  </si>
  <si>
    <t>Quantity
(ea)</t>
    <phoneticPr fontId="2" type="noConversion"/>
  </si>
  <si>
    <t>Gross
Weight
(kg)</t>
    <phoneticPr fontId="2" type="noConversion"/>
  </si>
  <si>
    <t>Remark</t>
    <phoneticPr fontId="2" type="noConversion"/>
  </si>
  <si>
    <t>SIGNED BY</t>
  </si>
  <si>
    <t>PIC: Debao.Chen</t>
    <phoneticPr fontId="2" type="noConversion"/>
  </si>
  <si>
    <t>Mobile: +86-18262408589</t>
    <phoneticPr fontId="2" type="noConversion"/>
  </si>
  <si>
    <t>e-mail : debao.chen@nasn-auto.com</t>
    <phoneticPr fontId="2" type="noConversion"/>
  </si>
  <si>
    <t>Pressure sensor (SNA120)</t>
    <phoneticPr fontId="2" type="noConversion"/>
  </si>
  <si>
    <t>Pressure sensor (SNA120)</t>
    <phoneticPr fontId="2" type="noConversion"/>
  </si>
  <si>
    <t>Box</t>
    <phoneticPr fontId="2" type="noConversion"/>
  </si>
  <si>
    <t>120 X 100 X 99</t>
    <phoneticPr fontId="2" type="noConversion"/>
  </si>
  <si>
    <t>DAP</t>
    <phoneticPr fontId="2" type="noConversion"/>
  </si>
  <si>
    <t>CGDD2512177314</t>
    <phoneticPr fontId="2" type="noConversion"/>
  </si>
  <si>
    <t xml:space="preserve"> - BOX AMOUNT</t>
    <phoneticPr fontId="2" type="noConversion"/>
  </si>
  <si>
    <t xml:space="preserve"> - HS CODE : </t>
    <phoneticPr fontId="2" type="noConversion"/>
  </si>
  <si>
    <t>8541.51.1000</t>
    <phoneticPr fontId="2" type="noConversion"/>
  </si>
  <si>
    <t xml:space="preserve"> - PALLET SIZE </t>
    <phoneticPr fontId="2" type="noConversion"/>
  </si>
  <si>
    <t xml:space="preserve">1.2MX1.0MX12cm, 7KG </t>
    <phoneticPr fontId="2" type="noConversion"/>
  </si>
  <si>
    <t>TOTAL AMOUNT</t>
    <phoneticPr fontId="2" type="noConversion"/>
  </si>
  <si>
    <t>USD</t>
    <phoneticPr fontId="2" type="noConversion"/>
  </si>
  <si>
    <t xml:space="preserve"> - Total gross weight (kg)</t>
    <phoneticPr fontId="2" type="noConversion"/>
  </si>
  <si>
    <t>Pallet (ea)</t>
    <phoneticPr fontId="2" type="noConversion"/>
  </si>
  <si>
    <t>BOX (ea)</t>
    <phoneticPr fontId="2" type="noConversion"/>
  </si>
  <si>
    <t>INVOICE DATE : 11-MAY-2026</t>
    <phoneticPr fontId="2" type="noConversion"/>
  </si>
  <si>
    <t>INVOICE NO : TS-260511-01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</si>
</sst>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#,##0_ "/>
    <numFmt numFmtId="178" formatCode="#,##0_);[Red]\(#,##0\)"/>
    <numFmt numFmtId="179" formatCode="_-* #,##0.000_-;\-* #,##0.000_-;_-* &quot;-&quot;_-;_-@_-"/>
    <numFmt numFmtId="180" formatCode="\$#,##0.00"/>
    <numFmt numFmtId="181" formatCode="#,##0.0_);[Red]\(#,##0.0\)"/>
  </numFmts>
  <fonts count="20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Garamond"/>
      <family val="1"/>
    </font>
    <font>
      <sz val="11"/>
      <name val="Garamond"/>
      <family val="1"/>
    </font>
    <font>
      <b/>
      <sz val="20"/>
      <name val="굴림"/>
      <family val="3"/>
      <charset val="129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sz val="11"/>
      <name val="굴림"/>
      <family val="3"/>
      <charset val="129"/>
    </font>
    <font>
      <b/>
      <sz val="11"/>
      <name val="굴림"/>
      <family val="3"/>
      <charset val="129"/>
    </font>
    <font>
      <b/>
      <sz val="12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color rgb="FFFF0000"/>
      <name val="굴림"/>
      <family val="3"/>
      <charset val="129"/>
    </font>
    <font>
      <sz val="10"/>
      <name val="맑은 고딕 Semilight"/>
      <family val="3"/>
      <charset val="129"/>
    </font>
    <font>
      <b/>
      <sz val="10"/>
      <color rgb="FFFF0000"/>
      <name val="굴림"/>
      <family val="3"/>
      <charset val="129"/>
    </font>
    <font>
      <b/>
      <sz val="11"/>
      <color rgb="FFFF0000"/>
      <name val="굴림"/>
      <family val="3"/>
      <charset val="129"/>
    </font>
    <font>
      <b/>
      <sz val="10"/>
      <color rgb="FF0000FF"/>
      <name val="굴림"/>
      <family val="3"/>
      <charset val="129"/>
    </font>
    <font>
      <b/>
      <sz val="11"/>
      <color rgb="FF0000FF"/>
      <name val="굴림"/>
      <family val="3"/>
      <charset val="129"/>
    </font>
    <font>
      <sz val="12"/>
      <name val="돋움"/>
      <family val="3"/>
      <charset val="129"/>
    </font>
    <font>
      <sz val="9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/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>
      <alignment vertical="center"/>
    </xf>
  </cellStyleXfs>
  <cellXfs count="21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6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7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41" fontId="7" fillId="0" borderId="12" xfId="1" applyFont="1" applyFill="1" applyBorder="1" applyAlignment="1">
      <alignment vertical="center"/>
    </xf>
    <xf numFmtId="41" fontId="7" fillId="0" borderId="15" xfId="1" applyFont="1" applyFill="1" applyBorder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7" fillId="0" borderId="20" xfId="1" applyNumberFormat="1" applyFont="1" applyFill="1" applyBorder="1" applyAlignment="1">
      <alignment vertical="center"/>
    </xf>
    <xf numFmtId="176" fontId="7" fillId="0" borderId="23" xfId="1" applyNumberFormat="1" applyFont="1" applyFill="1" applyBorder="1" applyAlignment="1">
      <alignment horizontal="center" vertical="center"/>
    </xf>
    <xf numFmtId="0" fontId="7" fillId="0" borderId="20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 shrinkToFit="1"/>
    </xf>
    <xf numFmtId="0" fontId="9" fillId="0" borderId="0" xfId="0" applyFont="1" applyAlignment="1">
      <alignment vertical="center"/>
    </xf>
    <xf numFmtId="0" fontId="9" fillId="0" borderId="8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2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176" fontId="7" fillId="0" borderId="23" xfId="1" quotePrefix="1" applyNumberFormat="1" applyFont="1" applyFill="1" applyBorder="1" applyAlignment="1">
      <alignment horizontal="right" vertical="center"/>
    </xf>
    <xf numFmtId="42" fontId="7" fillId="0" borderId="20" xfId="2" quotePrefix="1" applyFont="1" applyFill="1" applyBorder="1" applyAlignment="1">
      <alignment horizontal="right" vertical="center"/>
    </xf>
    <xf numFmtId="0" fontId="7" fillId="2" borderId="7" xfId="0" applyFont="1" applyFill="1" applyBorder="1" applyAlignment="1">
      <alignment vertical="center"/>
    </xf>
    <xf numFmtId="0" fontId="12" fillId="2" borderId="5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2" fillId="2" borderId="8" xfId="0" applyFont="1" applyFill="1" applyBorder="1" applyAlignment="1">
      <alignment vertical="center"/>
    </xf>
    <xf numFmtId="178" fontId="7" fillId="0" borderId="20" xfId="1" applyNumberFormat="1" applyFont="1" applyFill="1" applyBorder="1" applyAlignment="1">
      <alignment vertical="center"/>
    </xf>
    <xf numFmtId="178" fontId="7" fillId="0" borderId="25" xfId="1" applyNumberFormat="1" applyFont="1" applyBorder="1" applyAlignment="1">
      <alignment horizontal="center" vertical="center" shrinkToFit="1"/>
    </xf>
    <xf numFmtId="178" fontId="7" fillId="2" borderId="25" xfId="0" applyNumberFormat="1" applyFont="1" applyFill="1" applyBorder="1" applyAlignment="1">
      <alignment horizontal="right" vertical="center"/>
    </xf>
    <xf numFmtId="178" fontId="7" fillId="0" borderId="25" xfId="1" applyNumberFormat="1" applyFont="1" applyFill="1" applyBorder="1" applyAlignment="1">
      <alignment horizontal="right" vertical="center"/>
    </xf>
    <xf numFmtId="0" fontId="12" fillId="0" borderId="7" xfId="0" applyFont="1" applyBorder="1" applyAlignment="1">
      <alignment horizontal="center" vertical="center"/>
    </xf>
    <xf numFmtId="0" fontId="15" fillId="2" borderId="3" xfId="0" applyFont="1" applyFill="1" applyBorder="1" applyAlignment="1">
      <alignment vertical="center" shrinkToFit="1"/>
    </xf>
    <xf numFmtId="176" fontId="7" fillId="0" borderId="23" xfId="1" applyNumberFormat="1" applyFont="1" applyFill="1" applyBorder="1" applyAlignment="1">
      <alignment horizontal="right" vertical="center"/>
    </xf>
    <xf numFmtId="43" fontId="0" fillId="0" borderId="0" xfId="0" applyNumberFormat="1" applyAlignment="1">
      <alignment vertical="center"/>
    </xf>
    <xf numFmtId="178" fontId="7" fillId="0" borderId="28" xfId="0" applyNumberFormat="1" applyFont="1" applyBorder="1" applyAlignment="1">
      <alignment horizontal="right" vertical="center"/>
    </xf>
    <xf numFmtId="177" fontId="7" fillId="0" borderId="20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30" xfId="1" applyNumberFormat="1" applyFont="1" applyFill="1" applyBorder="1" applyAlignment="1">
      <alignment horizontal="center" vertical="center"/>
    </xf>
    <xf numFmtId="0" fontId="7" fillId="0" borderId="22" xfId="1" applyNumberFormat="1" applyFont="1" applyFill="1" applyBorder="1" applyAlignment="1">
      <alignment horizontal="center" vertical="center"/>
    </xf>
    <xf numFmtId="0" fontId="7" fillId="0" borderId="22" xfId="1" applyNumberFormat="1" applyFont="1" applyBorder="1" applyAlignment="1">
      <alignment horizontal="center" vertical="center"/>
    </xf>
    <xf numFmtId="0" fontId="6" fillId="0" borderId="22" xfId="1" applyNumberFormat="1" applyFont="1" applyFill="1" applyBorder="1" applyAlignment="1">
      <alignment vertical="center" shrinkToFit="1"/>
    </xf>
    <xf numFmtId="178" fontId="7" fillId="0" borderId="34" xfId="0" applyNumberFormat="1" applyFont="1" applyBorder="1" applyAlignment="1">
      <alignment horizontal="center" vertical="center"/>
    </xf>
    <xf numFmtId="178" fontId="7" fillId="0" borderId="38" xfId="1" applyNumberFormat="1" applyFont="1" applyBorder="1" applyAlignment="1">
      <alignment horizontal="center" vertical="center" shrinkToFit="1"/>
    </xf>
    <xf numFmtId="178" fontId="7" fillId="0" borderId="40" xfId="0" applyNumberFormat="1" applyFont="1" applyBorder="1" applyAlignment="1">
      <alignment horizontal="center" vertical="center"/>
    </xf>
    <xf numFmtId="178" fontId="7" fillId="0" borderId="40" xfId="1" applyNumberFormat="1" applyFont="1" applyFill="1" applyBorder="1" applyAlignment="1">
      <alignment horizontal="right" vertical="center"/>
    </xf>
    <xf numFmtId="178" fontId="7" fillId="0" borderId="38" xfId="1" applyNumberFormat="1" applyFont="1" applyFill="1" applyBorder="1" applyAlignment="1">
      <alignment vertical="center"/>
    </xf>
    <xf numFmtId="0" fontId="7" fillId="0" borderId="37" xfId="0" applyFont="1" applyBorder="1" applyAlignment="1">
      <alignment horizontal="center" vertical="center"/>
    </xf>
    <xf numFmtId="178" fontId="7" fillId="0" borderId="41" xfId="1" applyNumberFormat="1" applyFont="1" applyFill="1" applyBorder="1" applyAlignment="1">
      <alignment horizontal="right" vertical="center"/>
    </xf>
    <xf numFmtId="0" fontId="7" fillId="0" borderId="35" xfId="0" applyFont="1" applyBorder="1" applyAlignment="1">
      <alignment horizontal="center" vertical="center" wrapText="1" shrinkToFit="1"/>
    </xf>
    <xf numFmtId="178" fontId="7" fillId="0" borderId="30" xfId="2" quotePrefix="1" applyNumberFormat="1" applyFont="1" applyFill="1" applyBorder="1" applyAlignment="1">
      <alignment horizontal="center" vertical="center" wrapText="1"/>
    </xf>
    <xf numFmtId="0" fontId="7" fillId="0" borderId="31" xfId="1" applyNumberFormat="1" applyFont="1" applyFill="1" applyBorder="1" applyAlignment="1">
      <alignment horizontal="center" vertical="center"/>
    </xf>
    <xf numFmtId="178" fontId="7" fillId="0" borderId="31" xfId="1" applyNumberFormat="1" applyFont="1" applyFill="1" applyBorder="1" applyAlignment="1">
      <alignment vertical="center"/>
    </xf>
    <xf numFmtId="177" fontId="7" fillId="2" borderId="20" xfId="0" applyNumberFormat="1" applyFont="1" applyFill="1" applyBorder="1" applyAlignment="1">
      <alignment horizontal="center" vertical="center"/>
    </xf>
    <xf numFmtId="180" fontId="6" fillId="0" borderId="23" xfId="1" applyNumberFormat="1" applyFont="1" applyFill="1" applyBorder="1" applyAlignment="1">
      <alignment horizontal="center" vertical="center"/>
    </xf>
    <xf numFmtId="178" fontId="7" fillId="0" borderId="35" xfId="0" applyNumberFormat="1" applyFont="1" applyBorder="1" applyAlignment="1">
      <alignment horizontal="center" vertical="center"/>
    </xf>
    <xf numFmtId="181" fontId="7" fillId="0" borderId="40" xfId="0" applyNumberFormat="1" applyFont="1" applyBorder="1" applyAlignment="1">
      <alignment horizontal="right" vertical="center"/>
    </xf>
    <xf numFmtId="41" fontId="7" fillId="0" borderId="45" xfId="1" applyFont="1" applyFill="1" applyBorder="1" applyAlignment="1">
      <alignment vertical="center"/>
    </xf>
    <xf numFmtId="41" fontId="7" fillId="0" borderId="46" xfId="1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76" fontId="7" fillId="0" borderId="47" xfId="1" applyNumberFormat="1" applyFont="1" applyFill="1" applyBorder="1" applyAlignment="1">
      <alignment horizontal="center" vertical="center"/>
    </xf>
    <xf numFmtId="176" fontId="7" fillId="0" borderId="48" xfId="1" applyNumberFormat="1" applyFont="1" applyFill="1" applyBorder="1" applyAlignment="1">
      <alignment horizontal="center" vertical="center"/>
    </xf>
    <xf numFmtId="176" fontId="7" fillId="0" borderId="49" xfId="1" quotePrefix="1" applyNumberFormat="1" applyFont="1" applyFill="1" applyBorder="1" applyAlignment="1">
      <alignment horizontal="center" vertical="center"/>
    </xf>
    <xf numFmtId="179" fontId="7" fillId="0" borderId="51" xfId="1" applyNumberFormat="1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41" fontId="11" fillId="0" borderId="33" xfId="1" applyFont="1" applyBorder="1" applyAlignment="1">
      <alignment vertical="center" shrinkToFit="1"/>
    </xf>
    <xf numFmtId="0" fontId="18" fillId="0" borderId="0" xfId="0" applyFont="1" applyAlignment="1">
      <alignment vertical="center"/>
    </xf>
    <xf numFmtId="0" fontId="6" fillId="0" borderId="22" xfId="0" applyFont="1" applyBorder="1" applyAlignment="1">
      <alignment horizontal="left" vertical="center"/>
    </xf>
    <xf numFmtId="0" fontId="10" fillId="0" borderId="52" xfId="0" applyFont="1" applyBorder="1" applyAlignment="1">
      <alignment horizontal="right" vertical="center" shrinkToFit="1"/>
    </xf>
    <xf numFmtId="41" fontId="10" fillId="0" borderId="53" xfId="0" applyNumberFormat="1" applyFont="1" applyBorder="1" applyAlignment="1">
      <alignment horizontal="right" vertical="center" shrinkToFit="1"/>
    </xf>
    <xf numFmtId="176" fontId="10" fillId="0" borderId="11" xfId="0" applyNumberFormat="1" applyFont="1" applyBorder="1" applyAlignment="1">
      <alignment horizontal="right" vertical="center" shrinkToFit="1"/>
    </xf>
    <xf numFmtId="41" fontId="7" fillId="0" borderId="40" xfId="1" applyFont="1" applyBorder="1" applyAlignment="1">
      <alignment horizontal="right" vertical="center"/>
    </xf>
    <xf numFmtId="41" fontId="7" fillId="0" borderId="25" xfId="1" applyFont="1" applyBorder="1" applyAlignment="1">
      <alignment horizontal="right" vertical="center" wrapText="1" shrinkToFit="1"/>
    </xf>
    <xf numFmtId="41" fontId="7" fillId="0" borderId="25" xfId="1" applyFont="1" applyBorder="1" applyAlignment="1">
      <alignment horizontal="right" vertical="center" shrinkToFit="1"/>
    </xf>
    <xf numFmtId="41" fontId="7" fillId="0" borderId="38" xfId="1" applyFont="1" applyBorder="1" applyAlignment="1">
      <alignment horizontal="right" vertical="center" shrinkToFit="1"/>
    </xf>
    <xf numFmtId="41" fontId="10" fillId="0" borderId="9" xfId="0" applyNumberFormat="1" applyFont="1" applyBorder="1" applyAlignment="1">
      <alignment horizontal="right" vertical="center" shrinkToFit="1"/>
    </xf>
    <xf numFmtId="0" fontId="0" fillId="0" borderId="0" xfId="0" applyAlignment="1">
      <alignment horizontal="center" vertical="center"/>
    </xf>
    <xf numFmtId="178" fontId="7" fillId="0" borderId="36" xfId="1" applyNumberFormat="1" applyFont="1" applyBorder="1" applyAlignment="1">
      <alignment horizontal="center" vertical="center" shrinkToFit="1"/>
    </xf>
    <xf numFmtId="178" fontId="7" fillId="0" borderId="37" xfId="1" applyNumberFormat="1" applyFont="1" applyBorder="1" applyAlignment="1">
      <alignment horizontal="center" vertical="center" shrinkToFit="1"/>
    </xf>
    <xf numFmtId="41" fontId="7" fillId="0" borderId="39" xfId="1" applyFont="1" applyBorder="1" applyAlignment="1">
      <alignment horizontal="center" vertical="center" shrinkToFit="1"/>
    </xf>
    <xf numFmtId="41" fontId="7" fillId="0" borderId="35" xfId="1" applyFont="1" applyBorder="1" applyAlignment="1">
      <alignment horizontal="center" vertical="center" shrinkToFit="1"/>
    </xf>
    <xf numFmtId="0" fontId="7" fillId="0" borderId="32" xfId="0" applyFont="1" applyBorder="1" applyAlignment="1">
      <alignment horizontal="center" vertical="center" wrapText="1" shrinkToFit="1"/>
    </xf>
    <xf numFmtId="0" fontId="7" fillId="0" borderId="33" xfId="0" applyFont="1" applyBorder="1" applyAlignment="1">
      <alignment horizontal="center" vertical="center" wrapText="1" shrinkToFit="1"/>
    </xf>
    <xf numFmtId="41" fontId="11" fillId="0" borderId="32" xfId="1" applyFont="1" applyBorder="1" applyAlignment="1">
      <alignment horizontal="center" vertical="center" shrinkToFit="1"/>
    </xf>
    <xf numFmtId="41" fontId="11" fillId="0" borderId="33" xfId="1" applyFont="1" applyBorder="1" applyAlignment="1">
      <alignment horizontal="center" vertical="center" shrinkToFit="1"/>
    </xf>
    <xf numFmtId="178" fontId="7" fillId="0" borderId="39" xfId="1" applyNumberFormat="1" applyFont="1" applyFill="1" applyBorder="1" applyAlignment="1">
      <alignment horizontal="center" vertical="center"/>
    </xf>
    <xf numFmtId="178" fontId="7" fillId="0" borderId="29" xfId="1" applyNumberFormat="1" applyFont="1" applyFill="1" applyBorder="1" applyAlignment="1">
      <alignment horizontal="center" vertical="center"/>
    </xf>
    <xf numFmtId="178" fontId="7" fillId="0" borderId="35" xfId="1" applyNumberFormat="1" applyFont="1" applyFill="1" applyBorder="1" applyAlignment="1">
      <alignment horizontal="center" vertical="center"/>
    </xf>
    <xf numFmtId="0" fontId="7" fillId="0" borderId="7" xfId="0" applyFont="1" applyBorder="1" applyAlignment="1">
      <alignment horizontal="left" vertical="center" wrapText="1" shrinkToFit="1"/>
    </xf>
    <xf numFmtId="0" fontId="7" fillId="0" borderId="0" xfId="0" applyFont="1" applyAlignment="1">
      <alignment horizontal="left" vertical="center" shrinkToFit="1"/>
    </xf>
    <xf numFmtId="0" fontId="7" fillId="0" borderId="8" xfId="0" applyFont="1" applyBorder="1" applyAlignment="1">
      <alignment horizontal="left" vertical="center" shrinkToFit="1"/>
    </xf>
    <xf numFmtId="0" fontId="7" fillId="0" borderId="7" xfId="0" applyFont="1" applyBorder="1" applyAlignment="1">
      <alignment horizontal="left" vertical="center" shrinkToFit="1"/>
    </xf>
    <xf numFmtId="0" fontId="7" fillId="2" borderId="7" xfId="0" applyFont="1" applyFill="1" applyBorder="1" applyAlignment="1">
      <alignment horizontal="left" vertical="center" shrinkToFit="1"/>
    </xf>
    <xf numFmtId="0" fontId="7" fillId="2" borderId="0" xfId="0" applyFont="1" applyFill="1" applyAlignment="1">
      <alignment horizontal="left" vertical="center" shrinkToFit="1"/>
    </xf>
    <xf numFmtId="0" fontId="7" fillId="2" borderId="8" xfId="0" applyFont="1" applyFill="1" applyBorder="1" applyAlignment="1">
      <alignment horizontal="left" vertical="center" shrinkToFit="1"/>
    </xf>
    <xf numFmtId="0" fontId="6" fillId="0" borderId="1" xfId="0" applyFont="1" applyBorder="1" applyAlignment="1">
      <alignment horizontal="left" vertical="center" shrinkToFit="1"/>
    </xf>
    <xf numFmtId="0" fontId="6" fillId="0" borderId="2" xfId="0" applyFont="1" applyBorder="1" applyAlignment="1">
      <alignment horizontal="left" vertical="center" shrinkToFit="1"/>
    </xf>
    <xf numFmtId="0" fontId="8" fillId="0" borderId="2" xfId="0" applyFont="1" applyBorder="1" applyAlignment="1">
      <alignment horizontal="left" vertical="center" shrinkToFit="1"/>
    </xf>
    <xf numFmtId="0" fontId="8" fillId="0" borderId="3" xfId="0" applyFont="1" applyBorder="1" applyAlignment="1">
      <alignment horizontal="left" vertical="center" shrinkToFit="1"/>
    </xf>
    <xf numFmtId="0" fontId="7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6" fillId="0" borderId="4" xfId="0" applyFont="1" applyBorder="1" applyAlignment="1">
      <alignment horizontal="left" vertical="center" shrinkToFit="1"/>
    </xf>
    <xf numFmtId="0" fontId="17" fillId="0" borderId="5" xfId="0" applyFont="1" applyBorder="1" applyAlignment="1">
      <alignment vertical="center" shrinkToFit="1"/>
    </xf>
    <xf numFmtId="0" fontId="7" fillId="0" borderId="44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" xfId="0" applyFont="1" applyBorder="1" applyAlignment="1">
      <alignment vertical="center" shrinkToFit="1"/>
    </xf>
    <xf numFmtId="0" fontId="7" fillId="0" borderId="6" xfId="0" applyFont="1" applyBorder="1" applyAlignment="1">
      <alignment vertical="center" shrinkToFit="1"/>
    </xf>
    <xf numFmtId="178" fontId="7" fillId="0" borderId="26" xfId="1" applyNumberFormat="1" applyFont="1" applyBorder="1" applyAlignment="1">
      <alignment horizontal="center" vertical="center" shrinkToFit="1"/>
    </xf>
    <xf numFmtId="178" fontId="7" fillId="0" borderId="27" xfId="1" applyNumberFormat="1" applyFont="1" applyBorder="1" applyAlignment="1">
      <alignment horizontal="center" vertical="center" shrinkToFit="1"/>
    </xf>
    <xf numFmtId="178" fontId="7" fillId="0" borderId="26" xfId="1" applyNumberFormat="1" applyFont="1" applyBorder="1" applyAlignment="1">
      <alignment horizontal="center" vertical="center" wrapText="1" shrinkToFit="1"/>
    </xf>
    <xf numFmtId="178" fontId="7" fillId="0" borderId="27" xfId="1" applyNumberFormat="1" applyFont="1" applyBorder="1" applyAlignment="1">
      <alignment horizontal="center" vertical="center" wrapText="1" shrinkToFit="1"/>
    </xf>
    <xf numFmtId="0" fontId="7" fillId="0" borderId="43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shrinkToFit="1"/>
    </xf>
    <xf numFmtId="0" fontId="8" fillId="0" borderId="20" xfId="0" applyFont="1" applyBorder="1" applyAlignment="1">
      <alignment horizontal="center" vertical="center" shrinkToFit="1"/>
    </xf>
    <xf numFmtId="0" fontId="9" fillId="0" borderId="13" xfId="0" applyFont="1" applyBorder="1" applyAlignment="1">
      <alignment horizontal="center" vertical="center" shrinkToFit="1"/>
    </xf>
    <xf numFmtId="0" fontId="9" fillId="0" borderId="14" xfId="0" applyFont="1" applyBorder="1" applyAlignment="1">
      <alignment horizontal="center" vertical="center" shrinkToFit="1"/>
    </xf>
    <xf numFmtId="0" fontId="9" fillId="0" borderId="21" xfId="0" applyFont="1" applyBorder="1" applyAlignment="1">
      <alignment horizontal="center" vertical="center" shrinkToFit="1"/>
    </xf>
    <xf numFmtId="0" fontId="9" fillId="0" borderId="22" xfId="0" applyFont="1" applyBorder="1" applyAlignment="1">
      <alignment horizontal="center" vertical="center" shrinkToFit="1"/>
    </xf>
    <xf numFmtId="0" fontId="9" fillId="0" borderId="12" xfId="0" applyFont="1" applyBorder="1" applyAlignment="1">
      <alignment horizontal="center" vertical="center" shrinkToFit="1"/>
    </xf>
    <xf numFmtId="0" fontId="9" fillId="0" borderId="20" xfId="0" applyFont="1" applyBorder="1" applyAlignment="1">
      <alignment horizontal="center" vertical="center" shrinkToFit="1"/>
    </xf>
    <xf numFmtId="0" fontId="6" fillId="0" borderId="1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/>
    </xf>
    <xf numFmtId="178" fontId="7" fillId="0" borderId="39" xfId="0" applyNumberFormat="1" applyFont="1" applyBorder="1" applyAlignment="1">
      <alignment horizontal="center" vertical="center"/>
    </xf>
    <xf numFmtId="178" fontId="7" fillId="0" borderId="35" xfId="0" applyNumberFormat="1" applyFont="1" applyBorder="1" applyAlignment="1">
      <alignment horizontal="center" vertical="center"/>
    </xf>
    <xf numFmtId="41" fontId="9" fillId="0" borderId="21" xfId="1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41" fontId="8" fillId="0" borderId="21" xfId="1" applyFont="1" applyBorder="1" applyAlignment="1">
      <alignment horizontal="left" vertical="center" shrinkToFit="1"/>
    </xf>
    <xf numFmtId="0" fontId="8" fillId="0" borderId="0" xfId="0" applyFont="1" applyAlignment="1">
      <alignment horizontal="left" vertical="center" shrinkToFit="1"/>
    </xf>
    <xf numFmtId="0" fontId="8" fillId="0" borderId="22" xfId="0" applyFont="1" applyBorder="1" applyAlignment="1">
      <alignment horizontal="left" vertical="center" shrinkToFit="1"/>
    </xf>
    <xf numFmtId="0" fontId="11" fillId="0" borderId="21" xfId="1" applyNumberFormat="1" applyFont="1" applyBorder="1" applyAlignment="1">
      <alignment horizontal="left" vertical="center" shrinkToFit="1"/>
    </xf>
    <xf numFmtId="0" fontId="11" fillId="0" borderId="0" xfId="1" applyNumberFormat="1" applyFont="1" applyBorder="1" applyAlignment="1">
      <alignment horizontal="left" vertical="center" shrinkToFit="1"/>
    </xf>
    <xf numFmtId="0" fontId="11" fillId="0" borderId="22" xfId="1" applyNumberFormat="1" applyFont="1" applyBorder="1" applyAlignment="1">
      <alignment horizontal="left" vertical="center" shrinkToFit="1"/>
    </xf>
    <xf numFmtId="1" fontId="7" fillId="0" borderId="0" xfId="1" applyNumberFormat="1" applyFont="1" applyFill="1" applyBorder="1" applyAlignment="1">
      <alignment horizontal="left" vertical="center" shrinkToFit="1"/>
    </xf>
    <xf numFmtId="1" fontId="7" fillId="0" borderId="22" xfId="1" applyNumberFormat="1" applyFont="1" applyFill="1" applyBorder="1" applyAlignment="1">
      <alignment horizontal="left" vertical="center" shrinkToFit="1"/>
    </xf>
    <xf numFmtId="0" fontId="19" fillId="0" borderId="21" xfId="1" applyNumberFormat="1" applyFont="1" applyFill="1" applyBorder="1" applyAlignment="1">
      <alignment horizontal="left" vertical="center" shrinkToFit="1"/>
    </xf>
    <xf numFmtId="0" fontId="19" fillId="0" borderId="0" xfId="1" applyNumberFormat="1" applyFont="1" applyFill="1" applyBorder="1" applyAlignment="1">
      <alignment horizontal="left" vertical="center" shrinkToFit="1"/>
    </xf>
    <xf numFmtId="0" fontId="7" fillId="0" borderId="7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7" fillId="0" borderId="22" xfId="0" applyFont="1" applyBorder="1" applyAlignment="1">
      <alignment horizontal="left" vertical="center" shrinkToFit="1"/>
    </xf>
    <xf numFmtId="0" fontId="7" fillId="0" borderId="21" xfId="1" applyNumberFormat="1" applyFont="1" applyBorder="1" applyAlignment="1">
      <alignment horizontal="left" vertical="center" shrinkToFit="1"/>
    </xf>
    <xf numFmtId="0" fontId="7" fillId="0" borderId="0" xfId="1" applyNumberFormat="1" applyFont="1" applyBorder="1" applyAlignment="1">
      <alignment horizontal="left" vertical="center" shrinkToFit="1"/>
    </xf>
    <xf numFmtId="0" fontId="6" fillId="0" borderId="19" xfId="0" applyFont="1" applyBorder="1" applyAlignment="1">
      <alignment horizontal="center" vertical="center"/>
    </xf>
    <xf numFmtId="41" fontId="7" fillId="0" borderId="21" xfId="1" applyFont="1" applyBorder="1" applyAlignment="1">
      <alignment horizontal="center" vertical="center" wrapText="1" shrinkToFit="1"/>
    </xf>
    <xf numFmtId="41" fontId="7" fillId="0" borderId="0" xfId="1" applyFont="1" applyBorder="1" applyAlignment="1">
      <alignment horizontal="center" vertical="center" shrinkToFit="1"/>
    </xf>
    <xf numFmtId="41" fontId="7" fillId="0" borderId="22" xfId="1" applyFont="1" applyBorder="1" applyAlignment="1">
      <alignment horizontal="center" vertical="center" shrinkToFit="1"/>
    </xf>
    <xf numFmtId="0" fontId="7" fillId="0" borderId="21" xfId="1" applyNumberFormat="1" applyFont="1" applyBorder="1" applyAlignment="1">
      <alignment horizontal="center" vertical="center" shrinkToFit="1"/>
    </xf>
    <xf numFmtId="0" fontId="7" fillId="0" borderId="0" xfId="1" applyNumberFormat="1" applyFont="1" applyBorder="1" applyAlignment="1">
      <alignment horizontal="center" vertical="center" shrinkToFit="1"/>
    </xf>
    <xf numFmtId="0" fontId="7" fillId="0" borderId="22" xfId="1" applyNumberFormat="1" applyFont="1" applyBorder="1" applyAlignment="1">
      <alignment horizontal="center" vertical="center" shrinkToFit="1"/>
    </xf>
    <xf numFmtId="41" fontId="7" fillId="0" borderId="21" xfId="1" applyFont="1" applyBorder="1" applyAlignment="1">
      <alignment vertical="center" shrinkToFit="1"/>
    </xf>
    <xf numFmtId="0" fontId="7" fillId="0" borderId="0" xfId="0" applyFont="1" applyAlignment="1">
      <alignment vertical="center" shrinkToFit="1"/>
    </xf>
    <xf numFmtId="0" fontId="7" fillId="0" borderId="22" xfId="0" applyFont="1" applyBorder="1" applyAlignment="1">
      <alignment vertical="center" shrinkToFit="1"/>
    </xf>
    <xf numFmtId="0" fontId="6" fillId="0" borderId="16" xfId="0" applyFont="1" applyBorder="1" applyAlignment="1">
      <alignment horizontal="center" vertical="center"/>
    </xf>
    <xf numFmtId="0" fontId="7" fillId="0" borderId="9" xfId="0" applyFont="1" applyBorder="1" applyAlignment="1">
      <alignment vertical="center" shrinkToFit="1"/>
    </xf>
    <xf numFmtId="0" fontId="9" fillId="0" borderId="2" xfId="0" applyFont="1" applyBorder="1" applyAlignment="1">
      <alignment horizontal="center" vertical="center" shrinkToFit="1"/>
    </xf>
    <xf numFmtId="0" fontId="9" fillId="0" borderId="17" xfId="0" applyFont="1" applyBorder="1" applyAlignment="1">
      <alignment horizontal="center" vertical="center" shrinkToFit="1"/>
    </xf>
    <xf numFmtId="0" fontId="9" fillId="0" borderId="5" xfId="0" applyFont="1" applyBorder="1" applyAlignment="1">
      <alignment horizontal="center" vertical="center" shrinkToFit="1"/>
    </xf>
    <xf numFmtId="0" fontId="9" fillId="0" borderId="18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shrinkToFit="1"/>
    </xf>
    <xf numFmtId="0" fontId="10" fillId="0" borderId="0" xfId="0" applyFont="1" applyAlignment="1">
      <alignment vertical="center" shrinkToFit="1"/>
    </xf>
    <xf numFmtId="0" fontId="10" fillId="0" borderId="52" xfId="0" applyFont="1" applyBorder="1" applyAlignment="1">
      <alignment horizontal="right" vertical="center" shrinkToFit="1"/>
    </xf>
    <xf numFmtId="0" fontId="10" fillId="0" borderId="9" xfId="0" applyFont="1" applyBorder="1" applyAlignment="1">
      <alignment horizontal="right" vertical="center" shrinkToFit="1"/>
    </xf>
    <xf numFmtId="0" fontId="10" fillId="0" borderId="10" xfId="0" applyFont="1" applyBorder="1" applyAlignment="1">
      <alignment horizontal="center" vertical="center" shrinkToFit="1"/>
    </xf>
    <xf numFmtId="0" fontId="10" fillId="0" borderId="9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left" vertical="center"/>
    </xf>
    <xf numFmtId="0" fontId="14" fillId="2" borderId="10" xfId="0" applyFont="1" applyFill="1" applyBorder="1" applyAlignment="1">
      <alignment vertical="center" shrinkToFit="1"/>
    </xf>
    <xf numFmtId="0" fontId="15" fillId="2" borderId="9" xfId="0" applyFont="1" applyFill="1" applyBorder="1" applyAlignment="1">
      <alignment vertical="center" shrinkToFit="1"/>
    </xf>
    <xf numFmtId="0" fontId="15" fillId="2" borderId="11" xfId="0" applyFont="1" applyFill="1" applyBorder="1" applyAlignment="1">
      <alignment vertical="center" shrinkToFit="1"/>
    </xf>
    <xf numFmtId="0" fontId="6" fillId="0" borderId="10" xfId="0" applyFont="1" applyBorder="1" applyAlignment="1">
      <alignment horizontal="left" vertical="center" shrinkToFit="1"/>
    </xf>
    <xf numFmtId="0" fontId="6" fillId="0" borderId="9" xfId="0" applyFont="1" applyBorder="1" applyAlignment="1">
      <alignment horizontal="left" vertical="center" shrinkToFit="1"/>
    </xf>
    <xf numFmtId="0" fontId="8" fillId="0" borderId="9" xfId="0" applyFont="1" applyBorder="1" applyAlignment="1">
      <alignment horizontal="left" vertical="center" shrinkToFit="1"/>
    </xf>
    <xf numFmtId="0" fontId="8" fillId="0" borderId="11" xfId="0" applyFont="1" applyBorder="1" applyAlignment="1">
      <alignment horizontal="left" vertical="center" shrinkToFit="1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</cellXfs>
  <cellStyles count="3">
    <cellStyle name="쉼표 [0]" xfId="1" builtinId="6"/>
    <cellStyle name="통화 [0]" xfId="2" builtinId="7"/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1251363</xdr:colOff>
      <xdr:row>38</xdr:row>
      <xdr:rowOff>29127</xdr:rowOff>
    </xdr:from>
    <xdr:to>
      <xdr:col>8</xdr:col>
      <xdr:colOff>301188</xdr:colOff>
      <xdr:row>42</xdr:row>
      <xdr:rowOff>54278</xdr:rowOff>
    </xdr:to>
    <xdr:pic>
      <xdr:nvPicPr>
        <xdr:cNvPr id="2" name="그림 1" descr="대양전기 영문사인.JPG">
          <a:extLst>
            <a:ext uri="{FF2B5EF4-FFF2-40B4-BE49-F238E27FC236}">
              <a16:creationId xmlns:a16="http://schemas.microsoft.com/office/drawing/2014/main" id="{D6162392-BFC1-4DAE-BA52-75DE11E17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946938" y="8392077"/>
          <a:ext cx="2177387" cy="7795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170071</xdr:colOff>
      <xdr:row>31</xdr:row>
      <xdr:rowOff>108226</xdr:rowOff>
    </xdr:from>
    <xdr:to>
      <xdr:col>8</xdr:col>
      <xdr:colOff>820981</xdr:colOff>
      <xdr:row>35</xdr:row>
      <xdr:rowOff>135617</xdr:rowOff>
    </xdr:to>
    <xdr:pic>
      <xdr:nvPicPr>
        <xdr:cNvPr id="2" name="그림 1" descr="대양전기 영문사인.JPG">
          <a:extLst>
            <a:ext uri="{FF2B5EF4-FFF2-40B4-BE49-F238E27FC236}">
              <a16:creationId xmlns:a16="http://schemas.microsoft.com/office/drawing/2014/main" id="{4AB555FF-0F4D-4E97-A901-FF76E4343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123636" y="8169965"/>
          <a:ext cx="1980186" cy="8017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99"/>
  <sheetViews>
    <sheetView showGridLines="0" tabSelected="1" view="pageBreakPreview" topLeftCell="A22" zoomScale="126" zoomScaleNormal="85" zoomScaleSheetLayoutView="126" workbookViewId="0">
      <selection activeCell="H24" sqref="H24"/>
    </sheetView>
  </sheetViews>
  <sheetFormatPr defaultRowHeight="14.4" x14ac:dyDescent="0.25"/>
  <cols>
    <col min="1" max="1" width="12.09765625" customWidth="1"/>
    <col min="2" max="2" width="1.8984375" customWidth="1"/>
    <col min="3" max="3" width="8.8984375" customWidth="1"/>
    <col min="4" max="4" width="7.8984375" customWidth="1"/>
    <col min="5" max="5" width="15" customWidth="1"/>
    <col min="6" max="6" width="5.796875" customWidth="1"/>
    <col min="7" max="7" width="8.19921875" bestFit="1" customWidth="1"/>
    <col min="8" max="8" width="7.69921875" customWidth="1"/>
    <col min="9" max="9" width="21" customWidth="1"/>
  </cols>
  <sheetData>
    <row r="1" spans="1:9" s="1" customFormat="1" ht="15" customHeight="1" thickTop="1" x14ac:dyDescent="0.25">
      <c r="A1" s="124" t="s">
        <v>26</v>
      </c>
      <c r="B1" s="125"/>
      <c r="C1" s="125"/>
      <c r="D1" s="125"/>
      <c r="E1" s="125"/>
      <c r="F1" s="125"/>
      <c r="G1" s="125"/>
      <c r="H1" s="125"/>
      <c r="I1" s="126"/>
    </row>
    <row r="2" spans="1:9" s="1" customFormat="1" ht="15" customHeight="1" thickBot="1" x14ac:dyDescent="0.3">
      <c r="A2" s="127"/>
      <c r="B2" s="128"/>
      <c r="C2" s="128"/>
      <c r="D2" s="128"/>
      <c r="E2" s="128"/>
      <c r="F2" s="128"/>
      <c r="G2" s="128"/>
      <c r="H2" s="128"/>
      <c r="I2" s="129"/>
    </row>
    <row r="3" spans="1:9" s="1" customFormat="1" ht="17.100000000000001" customHeight="1" thickTop="1" x14ac:dyDescent="0.25">
      <c r="A3" s="5" t="s">
        <v>0</v>
      </c>
      <c r="B3" s="6"/>
      <c r="C3" s="6"/>
      <c r="D3" s="6"/>
      <c r="E3" s="6"/>
      <c r="F3" s="5" t="s">
        <v>83</v>
      </c>
      <c r="G3" s="6"/>
      <c r="H3" s="6"/>
      <c r="I3" s="7"/>
    </row>
    <row r="4" spans="1:9" s="1" customFormat="1" ht="17.100000000000001" customHeight="1" thickBot="1" x14ac:dyDescent="0.3">
      <c r="A4" s="8" t="s">
        <v>14</v>
      </c>
      <c r="B4" s="9"/>
      <c r="C4" s="9"/>
      <c r="D4" s="9"/>
      <c r="E4" s="10"/>
      <c r="F4" s="17" t="s">
        <v>82</v>
      </c>
      <c r="G4" s="12"/>
      <c r="H4" s="12"/>
      <c r="I4" s="13"/>
    </row>
    <row r="5" spans="1:9" s="1" customFormat="1" ht="17.100000000000001" customHeight="1" thickTop="1" x14ac:dyDescent="0.25">
      <c r="A5" s="11" t="s">
        <v>15</v>
      </c>
      <c r="B5" s="12"/>
      <c r="C5" s="12"/>
      <c r="D5" s="12"/>
      <c r="E5" s="12"/>
      <c r="F5" s="5" t="s">
        <v>1</v>
      </c>
      <c r="G5" s="6"/>
      <c r="H5" s="6"/>
      <c r="I5" s="7"/>
    </row>
    <row r="6" spans="1:9" s="1" customFormat="1" ht="17.100000000000001" customHeight="1" thickBot="1" x14ac:dyDescent="0.3">
      <c r="A6" s="11" t="s">
        <v>19</v>
      </c>
      <c r="B6" s="12"/>
      <c r="C6" s="12"/>
      <c r="D6" s="12"/>
      <c r="E6" s="12"/>
      <c r="F6" s="14"/>
      <c r="G6" s="15"/>
      <c r="H6" s="15"/>
      <c r="I6" s="16"/>
    </row>
    <row r="7" spans="1:9" s="1" customFormat="1" ht="17.100000000000001" customHeight="1" thickTop="1" x14ac:dyDescent="0.25">
      <c r="A7" s="11" t="s">
        <v>16</v>
      </c>
      <c r="B7" s="12"/>
      <c r="C7" s="12"/>
      <c r="D7" s="12"/>
      <c r="E7" s="12"/>
      <c r="F7" s="17" t="s">
        <v>2</v>
      </c>
      <c r="G7" s="12"/>
      <c r="H7" s="12"/>
      <c r="I7" s="13"/>
    </row>
    <row r="8" spans="1:9" s="1" customFormat="1" ht="17.100000000000001" customHeight="1" thickBot="1" x14ac:dyDescent="0.3">
      <c r="A8" s="14" t="s">
        <v>17</v>
      </c>
      <c r="B8" s="15"/>
      <c r="C8" s="15"/>
      <c r="D8" s="15"/>
      <c r="E8" s="16"/>
      <c r="F8" s="130" t="s">
        <v>71</v>
      </c>
      <c r="G8" s="131"/>
      <c r="H8" s="15"/>
      <c r="I8" s="16"/>
    </row>
    <row r="9" spans="1:9" s="1" customFormat="1" ht="16.5" customHeight="1" thickTop="1" x14ac:dyDescent="0.25">
      <c r="A9" s="5" t="s">
        <v>3</v>
      </c>
      <c r="B9" s="6"/>
      <c r="C9" s="6"/>
      <c r="D9" s="6"/>
      <c r="E9" s="7"/>
      <c r="F9" s="18" t="s">
        <v>4</v>
      </c>
      <c r="G9" s="12"/>
      <c r="H9" s="12"/>
      <c r="I9" s="13"/>
    </row>
    <row r="10" spans="1:9" s="1" customFormat="1" ht="28.2" customHeight="1" x14ac:dyDescent="0.25">
      <c r="A10" s="112" t="s">
        <v>20</v>
      </c>
      <c r="B10" s="113"/>
      <c r="C10" s="113"/>
      <c r="D10" s="113"/>
      <c r="E10" s="114"/>
      <c r="F10" s="12" t="s">
        <v>38</v>
      </c>
      <c r="G10" s="12"/>
      <c r="H10" s="12"/>
      <c r="I10" s="13"/>
    </row>
    <row r="11" spans="1:9" s="1" customFormat="1" ht="33.450000000000003" customHeight="1" x14ac:dyDescent="0.25">
      <c r="A11" s="112" t="s">
        <v>22</v>
      </c>
      <c r="B11" s="113"/>
      <c r="C11" s="113"/>
      <c r="D11" s="113"/>
      <c r="E11" s="114"/>
      <c r="F11" s="12" t="s">
        <v>39</v>
      </c>
      <c r="G11" s="12"/>
      <c r="H11" s="12"/>
      <c r="I11" s="13"/>
    </row>
    <row r="12" spans="1:9" s="1" customFormat="1" ht="16.5" customHeight="1" x14ac:dyDescent="0.25">
      <c r="A12" s="112" t="s">
        <v>23</v>
      </c>
      <c r="B12" s="113"/>
      <c r="C12" s="113"/>
      <c r="D12" s="113"/>
      <c r="E12" s="114"/>
      <c r="F12" s="12" t="s">
        <v>40</v>
      </c>
      <c r="G12" s="12"/>
      <c r="H12" s="12"/>
      <c r="I12" s="13"/>
    </row>
    <row r="13" spans="1:9" s="1" customFormat="1" ht="16.5" customHeight="1" x14ac:dyDescent="0.25">
      <c r="A13" s="112"/>
      <c r="B13" s="113"/>
      <c r="C13" s="113"/>
      <c r="D13" s="113"/>
      <c r="E13" s="114"/>
      <c r="F13" s="169"/>
      <c r="G13" s="210"/>
      <c r="H13" s="210"/>
      <c r="I13" s="211"/>
    </row>
    <row r="14" spans="1:9" s="1" customFormat="1" ht="16.5" customHeight="1" x14ac:dyDescent="0.25">
      <c r="A14" s="115"/>
      <c r="B14" s="113"/>
      <c r="C14" s="113"/>
      <c r="D14" s="113"/>
      <c r="E14" s="114"/>
      <c r="F14" s="12" t="s">
        <v>63</v>
      </c>
      <c r="G14" s="12"/>
      <c r="H14" s="12"/>
      <c r="I14" s="13"/>
    </row>
    <row r="15" spans="1:9" s="1" customFormat="1" ht="16.5" customHeight="1" x14ac:dyDescent="0.25">
      <c r="A15" s="116" t="s">
        <v>25</v>
      </c>
      <c r="B15" s="117"/>
      <c r="C15" s="117"/>
      <c r="D15" s="117"/>
      <c r="E15" s="118"/>
      <c r="F15" s="12" t="s">
        <v>64</v>
      </c>
      <c r="G15" s="12"/>
      <c r="H15" s="12"/>
      <c r="I15" s="13"/>
    </row>
    <row r="16" spans="1:9" s="1" customFormat="1" ht="16.5" customHeight="1" x14ac:dyDescent="0.25">
      <c r="A16" s="116" t="s">
        <v>24</v>
      </c>
      <c r="B16" s="117"/>
      <c r="C16" s="117"/>
      <c r="D16" s="117"/>
      <c r="E16" s="118"/>
      <c r="F16" s="11" t="s">
        <v>65</v>
      </c>
      <c r="G16" s="12"/>
      <c r="H16" s="12"/>
      <c r="I16" s="13"/>
    </row>
    <row r="17" spans="1:10" s="1" customFormat="1" ht="16.5" customHeight="1" thickBot="1" x14ac:dyDescent="0.3">
      <c r="A17" s="46" t="s">
        <v>21</v>
      </c>
      <c r="B17" s="47"/>
      <c r="C17" s="47"/>
      <c r="D17" s="48"/>
      <c r="E17" s="49"/>
      <c r="F17" s="17" t="s">
        <v>12</v>
      </c>
      <c r="G17" s="12"/>
      <c r="H17" s="15" t="s">
        <v>18</v>
      </c>
      <c r="I17" s="13"/>
    </row>
    <row r="18" spans="1:10" s="1" customFormat="1" ht="16.5" customHeight="1" thickTop="1" thickBot="1" x14ac:dyDescent="0.3">
      <c r="A18" s="203"/>
      <c r="B18" s="204"/>
      <c r="C18" s="204"/>
      <c r="D18" s="204"/>
      <c r="E18" s="205"/>
      <c r="F18" s="206" t="s">
        <v>27</v>
      </c>
      <c r="G18" s="207"/>
      <c r="H18" s="208"/>
      <c r="I18" s="209"/>
    </row>
    <row r="19" spans="1:10" s="1" customFormat="1" ht="17.100000000000001" customHeight="1" thickTop="1" thickBot="1" x14ac:dyDescent="0.3">
      <c r="A19" s="19" t="s">
        <v>5</v>
      </c>
      <c r="B19" s="202" t="s">
        <v>11</v>
      </c>
      <c r="C19" s="202"/>
      <c r="D19" s="202"/>
      <c r="E19" s="20"/>
      <c r="F19" s="17" t="s">
        <v>6</v>
      </c>
      <c r="G19" s="12"/>
      <c r="H19" s="12"/>
      <c r="I19" s="13"/>
    </row>
    <row r="20" spans="1:10" s="1" customFormat="1" ht="17.100000000000001" customHeight="1" thickTop="1" thickBot="1" x14ac:dyDescent="0.3">
      <c r="A20" s="19" t="s">
        <v>42</v>
      </c>
      <c r="B20" s="187" t="s">
        <v>43</v>
      </c>
      <c r="C20" s="187"/>
      <c r="D20" s="187"/>
      <c r="E20" s="20"/>
      <c r="F20" s="14" t="s">
        <v>70</v>
      </c>
      <c r="G20" s="15"/>
      <c r="H20" s="15"/>
      <c r="I20" s="16"/>
    </row>
    <row r="21" spans="1:10" s="1" customFormat="1" ht="15" customHeight="1" thickTop="1" x14ac:dyDescent="0.25">
      <c r="A21" s="192" t="s">
        <v>44</v>
      </c>
      <c r="B21" s="193"/>
      <c r="C21" s="145" t="s">
        <v>9</v>
      </c>
      <c r="D21" s="188"/>
      <c r="E21" s="188"/>
      <c r="F21" s="146"/>
      <c r="G21" s="151" t="s">
        <v>45</v>
      </c>
      <c r="H21" s="151" t="s">
        <v>46</v>
      </c>
      <c r="I21" s="153" t="s">
        <v>13</v>
      </c>
    </row>
    <row r="22" spans="1:10" s="1" customFormat="1" ht="27.75" customHeight="1" thickBot="1" x14ac:dyDescent="0.3">
      <c r="A22" s="194"/>
      <c r="B22" s="195"/>
      <c r="C22" s="189"/>
      <c r="D22" s="190"/>
      <c r="E22" s="190"/>
      <c r="F22" s="191"/>
      <c r="G22" s="186"/>
      <c r="H22" s="186"/>
      <c r="I22" s="176"/>
    </row>
    <row r="23" spans="1:10" s="1" customFormat="1" ht="15" customHeight="1" thickTop="1" x14ac:dyDescent="0.25">
      <c r="A23" s="24"/>
      <c r="B23" s="43"/>
      <c r="C23" s="18"/>
      <c r="D23" s="18"/>
      <c r="E23" s="18"/>
      <c r="F23" s="43"/>
      <c r="G23" s="21"/>
      <c r="H23" s="22"/>
      <c r="I23" s="23"/>
    </row>
    <row r="24" spans="1:10" s="1" customFormat="1" ht="15" customHeight="1" x14ac:dyDescent="0.25">
      <c r="A24" s="171" t="s">
        <v>47</v>
      </c>
      <c r="B24" s="172"/>
      <c r="C24" s="177" t="s">
        <v>66</v>
      </c>
      <c r="D24" s="178"/>
      <c r="E24" s="178"/>
      <c r="F24" s="179"/>
      <c r="G24" s="59">
        <v>128216</v>
      </c>
      <c r="H24" s="26">
        <v>3.47</v>
      </c>
      <c r="I24" s="27">
        <f>G24*H24</f>
        <v>444909.52</v>
      </c>
    </row>
    <row r="25" spans="1:10" s="1" customFormat="1" ht="15" customHeight="1" x14ac:dyDescent="0.25">
      <c r="A25" s="171" t="s">
        <v>48</v>
      </c>
      <c r="B25" s="172"/>
      <c r="C25" s="177" t="s">
        <v>49</v>
      </c>
      <c r="D25" s="178"/>
      <c r="E25" s="178"/>
      <c r="F25" s="179"/>
      <c r="G25" s="59"/>
      <c r="H25" s="26"/>
      <c r="I25" s="56"/>
      <c r="J25" s="57"/>
    </row>
    <row r="26" spans="1:10" s="1" customFormat="1" ht="15" customHeight="1" x14ac:dyDescent="0.25">
      <c r="A26" s="169"/>
      <c r="B26" s="170"/>
      <c r="C26" s="180"/>
      <c r="D26" s="181"/>
      <c r="E26" s="181"/>
      <c r="F26" s="182"/>
      <c r="G26" s="76"/>
      <c r="H26" s="26"/>
      <c r="I26" s="77"/>
    </row>
    <row r="27" spans="1:10" s="1" customFormat="1" ht="15" customHeight="1" x14ac:dyDescent="0.25">
      <c r="A27" s="171"/>
      <c r="B27" s="172"/>
      <c r="G27" s="25"/>
      <c r="H27" s="26"/>
      <c r="I27" s="27"/>
    </row>
    <row r="28" spans="1:10" s="1" customFormat="1" ht="15" customHeight="1" x14ac:dyDescent="0.25">
      <c r="A28" s="54"/>
      <c r="B28" s="62"/>
      <c r="C28" s="183"/>
      <c r="D28" s="184"/>
      <c r="E28" s="184"/>
      <c r="F28" s="185"/>
      <c r="G28" s="25"/>
      <c r="H28" s="45"/>
      <c r="I28" s="44"/>
    </row>
    <row r="29" spans="1:10" s="1" customFormat="1" ht="15" customHeight="1" x14ac:dyDescent="0.25">
      <c r="A29" s="24"/>
      <c r="B29" s="62"/>
      <c r="C29" s="174" t="s">
        <v>75</v>
      </c>
      <c r="D29" s="175"/>
      <c r="E29" s="113" t="s">
        <v>76</v>
      </c>
      <c r="F29" s="173"/>
      <c r="G29" s="25"/>
      <c r="H29" s="26"/>
      <c r="I29" s="27"/>
    </row>
    <row r="30" spans="1:10" s="1" customFormat="1" ht="15" customHeight="1" x14ac:dyDescent="0.25">
      <c r="A30" s="24"/>
      <c r="B30" s="62"/>
      <c r="C30" s="162" t="s">
        <v>72</v>
      </c>
      <c r="D30" s="163"/>
      <c r="E30" s="163">
        <f>'Packing list'!F24</f>
        <v>124</v>
      </c>
      <c r="F30" s="164"/>
      <c r="G30" s="25"/>
      <c r="H30" s="26"/>
      <c r="I30" s="27"/>
    </row>
    <row r="31" spans="1:10" s="2" customFormat="1" ht="15" customHeight="1" x14ac:dyDescent="0.25">
      <c r="A31" s="60"/>
      <c r="B31" s="63"/>
      <c r="C31" s="162" t="s">
        <v>73</v>
      </c>
      <c r="D31" s="163"/>
      <c r="E31" s="163" t="s">
        <v>74</v>
      </c>
      <c r="F31" s="164"/>
      <c r="G31" s="25"/>
      <c r="H31" s="26"/>
      <c r="I31" s="27"/>
    </row>
    <row r="32" spans="1:10" s="2" customFormat="1" ht="15" customHeight="1" x14ac:dyDescent="0.25">
      <c r="A32" s="60"/>
      <c r="B32" s="63"/>
      <c r="C32" s="167" t="s">
        <v>79</v>
      </c>
      <c r="D32" s="168"/>
      <c r="E32" s="165">
        <f>'Packing list'!H28</f>
        <v>1013.3432</v>
      </c>
      <c r="F32" s="166"/>
      <c r="G32" s="25"/>
      <c r="H32" s="26"/>
      <c r="I32" s="27"/>
    </row>
    <row r="33" spans="1:21" s="2" customFormat="1" ht="15" customHeight="1" x14ac:dyDescent="0.25">
      <c r="A33" s="60"/>
      <c r="B33" s="64"/>
      <c r="C33" s="159"/>
      <c r="D33" s="160"/>
      <c r="E33" s="160"/>
      <c r="F33" s="161"/>
      <c r="G33" s="28"/>
      <c r="H33" s="12"/>
      <c r="I33" s="29"/>
    </row>
    <row r="34" spans="1:21" s="2" customFormat="1" ht="15" customHeight="1" x14ac:dyDescent="0.25">
      <c r="A34" s="60"/>
      <c r="B34" s="64"/>
      <c r="C34" s="157" t="s">
        <v>52</v>
      </c>
      <c r="D34" s="158"/>
      <c r="E34" s="158"/>
      <c r="F34" s="148"/>
      <c r="G34" s="28"/>
      <c r="H34" s="12"/>
      <c r="I34" s="29"/>
      <c r="M34" s="196"/>
      <c r="N34" s="197"/>
      <c r="O34" s="197"/>
      <c r="P34" s="197"/>
      <c r="Q34" s="197"/>
      <c r="R34" s="197"/>
      <c r="S34" s="197"/>
      <c r="T34" s="197"/>
      <c r="U34" s="197"/>
    </row>
    <row r="35" spans="1:21" s="2" customFormat="1" ht="15" customHeight="1" thickBot="1" x14ac:dyDescent="0.3">
      <c r="A35" s="60"/>
      <c r="B35" s="91"/>
      <c r="C35" s="30"/>
      <c r="D35" s="30"/>
      <c r="E35" s="30"/>
      <c r="F35" s="30"/>
      <c r="G35" s="28"/>
      <c r="H35" s="12"/>
      <c r="I35" s="29"/>
    </row>
    <row r="36" spans="1:21" s="1" customFormat="1" ht="36" customHeight="1" thickTop="1" thickBot="1" x14ac:dyDescent="0.3">
      <c r="A36" s="200" t="s">
        <v>77</v>
      </c>
      <c r="B36" s="201"/>
      <c r="C36" s="92" t="s">
        <v>80</v>
      </c>
      <c r="D36" s="93">
        <f>'Packing list'!G28</f>
        <v>5</v>
      </c>
      <c r="E36" s="92" t="s">
        <v>81</v>
      </c>
      <c r="F36" s="99">
        <f>'Packing list'!F24</f>
        <v>124</v>
      </c>
      <c r="G36" s="198" t="s">
        <v>78</v>
      </c>
      <c r="H36" s="199"/>
      <c r="I36" s="94">
        <f>I24</f>
        <v>444909.52</v>
      </c>
      <c r="J36" s="90"/>
    </row>
    <row r="37" spans="1:21" s="1" customFormat="1" ht="15" customHeight="1" thickTop="1" x14ac:dyDescent="0.25">
      <c r="A37" s="17"/>
      <c r="B37" s="31"/>
      <c r="C37" s="31"/>
      <c r="D37" s="32"/>
      <c r="E37" s="33"/>
      <c r="F37" s="33"/>
      <c r="G37" s="33"/>
      <c r="H37" s="33"/>
      <c r="I37" s="34"/>
    </row>
    <row r="38" spans="1:21" s="1" customFormat="1" ht="15" customHeight="1" x14ac:dyDescent="0.25">
      <c r="A38" s="24"/>
      <c r="B38" s="33"/>
      <c r="C38" s="33"/>
      <c r="D38" s="33"/>
      <c r="E38" s="33"/>
      <c r="F38" s="35" t="s">
        <v>10</v>
      </c>
      <c r="G38" s="33"/>
      <c r="H38" s="33"/>
      <c r="I38" s="34"/>
    </row>
    <row r="39" spans="1:21" s="1" customFormat="1" ht="15" customHeight="1" x14ac:dyDescent="0.25">
      <c r="A39" s="17"/>
      <c r="B39" s="31"/>
      <c r="C39" s="31"/>
      <c r="D39" s="36"/>
      <c r="E39" s="33"/>
      <c r="F39" s="36"/>
      <c r="G39" s="33"/>
      <c r="H39" s="33"/>
      <c r="I39" s="34"/>
    </row>
    <row r="40" spans="1:21" s="1" customFormat="1" ht="15" customHeight="1" x14ac:dyDescent="0.25">
      <c r="A40" s="17"/>
      <c r="B40" s="31"/>
      <c r="C40" s="31"/>
      <c r="D40" s="36"/>
      <c r="E40" s="31"/>
      <c r="F40" s="36"/>
      <c r="G40" s="33"/>
      <c r="H40" s="33"/>
      <c r="I40" s="34"/>
    </row>
    <row r="41" spans="1:21" s="1" customFormat="1" ht="15" customHeight="1" x14ac:dyDescent="0.25">
      <c r="A41" s="17"/>
      <c r="B41" s="31"/>
      <c r="C41" s="31"/>
      <c r="D41" s="36"/>
      <c r="E41" s="31"/>
      <c r="F41" s="33"/>
      <c r="G41" s="33"/>
      <c r="H41" s="33"/>
      <c r="I41" s="34"/>
    </row>
    <row r="42" spans="1:21" s="1" customFormat="1" ht="15" customHeight="1" x14ac:dyDescent="0.25">
      <c r="A42" s="17"/>
      <c r="B42" s="31"/>
      <c r="C42" s="31"/>
      <c r="D42" s="36"/>
      <c r="E42" s="31"/>
      <c r="F42" s="33"/>
      <c r="G42" s="33"/>
      <c r="H42" s="33"/>
      <c r="I42" s="34"/>
    </row>
    <row r="43" spans="1:21" s="1" customFormat="1" ht="15" customHeight="1" thickBot="1" x14ac:dyDescent="0.3">
      <c r="A43" s="17"/>
      <c r="B43" s="31"/>
      <c r="C43" s="31"/>
      <c r="D43" s="36"/>
      <c r="E43" s="31"/>
      <c r="F43" s="37"/>
      <c r="G43" s="37"/>
      <c r="H43" s="37"/>
      <c r="I43" s="34"/>
    </row>
    <row r="44" spans="1:21" s="1" customFormat="1" ht="15" customHeight="1" thickBot="1" x14ac:dyDescent="0.3">
      <c r="A44" s="38"/>
      <c r="B44" s="39"/>
      <c r="C44" s="39"/>
      <c r="D44" s="40"/>
      <c r="E44" s="39"/>
      <c r="F44" s="41"/>
      <c r="G44" s="41"/>
      <c r="H44" s="41"/>
      <c r="I44" s="42"/>
    </row>
    <row r="45" spans="1:21" s="1" customFormat="1" ht="15" thickTop="1" x14ac:dyDescent="0.25">
      <c r="A45" s="3"/>
      <c r="B45" s="3"/>
      <c r="C45" s="3"/>
      <c r="D45" s="3"/>
      <c r="E45" s="3"/>
      <c r="F45" s="3"/>
      <c r="G45" s="3"/>
      <c r="H45" s="3"/>
      <c r="I45" s="3"/>
    </row>
    <row r="46" spans="1:21" s="1" customFormat="1" x14ac:dyDescent="0.25">
      <c r="A46" s="3"/>
      <c r="B46" s="3"/>
      <c r="C46" s="3"/>
      <c r="D46" s="3"/>
      <c r="E46" s="3"/>
      <c r="F46" s="3"/>
      <c r="G46" s="3"/>
      <c r="H46" s="3"/>
      <c r="I46" s="3"/>
    </row>
    <row r="47" spans="1:21" s="1" customFormat="1" x14ac:dyDescent="0.25">
      <c r="A47" s="3"/>
      <c r="B47" s="3"/>
      <c r="C47" s="3"/>
      <c r="D47" s="3"/>
      <c r="E47" s="3"/>
      <c r="F47" s="3"/>
      <c r="G47" s="3"/>
      <c r="H47" s="3"/>
      <c r="I47" s="3"/>
    </row>
    <row r="48" spans="1:21" s="1" customFormat="1" x14ac:dyDescent="0.25">
      <c r="A48" s="3"/>
      <c r="B48" s="3"/>
      <c r="C48" s="3"/>
      <c r="D48" s="3"/>
      <c r="E48" s="3"/>
      <c r="F48" s="3"/>
      <c r="G48" s="3"/>
      <c r="H48" s="3"/>
      <c r="I48" s="3"/>
    </row>
    <row r="49" spans="1:9" s="1" customFormat="1" x14ac:dyDescent="0.25">
      <c r="A49" s="3"/>
      <c r="B49" s="3"/>
      <c r="C49" s="3"/>
      <c r="D49" s="3"/>
      <c r="E49" s="3"/>
      <c r="F49" s="3"/>
      <c r="G49" s="3"/>
      <c r="H49" s="3"/>
      <c r="I49" s="3"/>
    </row>
    <row r="50" spans="1:9" s="1" customFormat="1" x14ac:dyDescent="0.25">
      <c r="A50" s="3"/>
      <c r="B50" s="3"/>
      <c r="C50" s="3"/>
      <c r="D50" s="3"/>
      <c r="E50" s="3"/>
      <c r="F50" s="3"/>
      <c r="G50" s="3"/>
      <c r="H50" s="3"/>
      <c r="I50" s="3"/>
    </row>
    <row r="51" spans="1:9" s="1" customFormat="1" x14ac:dyDescent="0.25">
      <c r="A51" s="3"/>
      <c r="B51" s="3"/>
      <c r="C51" s="3"/>
      <c r="D51" s="3"/>
      <c r="E51" s="3"/>
      <c r="F51" s="3"/>
      <c r="G51" s="3"/>
      <c r="H51" s="3"/>
      <c r="I51" s="3"/>
    </row>
    <row r="52" spans="1:9" s="1" customFormat="1" x14ac:dyDescent="0.25">
      <c r="A52" s="3"/>
      <c r="B52" s="3"/>
      <c r="C52" s="3"/>
      <c r="D52" s="3"/>
      <c r="E52" s="3"/>
      <c r="F52" s="3"/>
      <c r="G52" s="3"/>
      <c r="H52" s="3"/>
      <c r="I52" s="3"/>
    </row>
    <row r="53" spans="1:9" s="1" customFormat="1" x14ac:dyDescent="0.25">
      <c r="A53" s="3"/>
      <c r="B53" s="3"/>
      <c r="C53" s="3"/>
      <c r="D53" s="3"/>
      <c r="E53" s="3"/>
      <c r="F53" s="3"/>
      <c r="G53" s="3"/>
      <c r="H53" s="3"/>
      <c r="I53" s="3"/>
    </row>
    <row r="54" spans="1:9" s="1" customFormat="1" x14ac:dyDescent="0.25">
      <c r="A54" s="3"/>
      <c r="B54" s="3"/>
      <c r="C54" s="3"/>
      <c r="D54" s="3"/>
      <c r="E54" s="3"/>
      <c r="F54" s="3"/>
      <c r="G54" s="3"/>
      <c r="H54" s="3"/>
      <c r="I54" s="3"/>
    </row>
    <row r="55" spans="1:9" s="1" customFormat="1" x14ac:dyDescent="0.25">
      <c r="A55" s="3"/>
      <c r="B55" s="3"/>
      <c r="C55" s="3"/>
      <c r="D55" s="3"/>
      <c r="E55" s="3"/>
      <c r="F55" s="3"/>
      <c r="G55" s="3"/>
      <c r="H55" s="3"/>
      <c r="I55" s="3"/>
    </row>
    <row r="56" spans="1:9" ht="15" x14ac:dyDescent="0.3">
      <c r="A56" s="4"/>
      <c r="B56" s="4"/>
      <c r="C56" s="4"/>
      <c r="D56" s="4"/>
      <c r="E56" s="4"/>
      <c r="F56" s="4"/>
      <c r="G56" s="4"/>
      <c r="H56" s="4"/>
      <c r="I56" s="4"/>
    </row>
    <row r="57" spans="1:9" ht="15" x14ac:dyDescent="0.3">
      <c r="A57" s="4"/>
      <c r="B57" s="4"/>
      <c r="C57" s="4"/>
      <c r="D57" s="4"/>
      <c r="E57" s="4"/>
      <c r="F57" s="4"/>
      <c r="G57" s="4"/>
      <c r="H57" s="4"/>
      <c r="I57" s="4"/>
    </row>
    <row r="58" spans="1:9" ht="15" x14ac:dyDescent="0.3">
      <c r="A58" s="4"/>
      <c r="B58" s="4"/>
      <c r="C58" s="4"/>
      <c r="D58" s="4"/>
      <c r="E58" s="4"/>
      <c r="F58" s="4"/>
      <c r="G58" s="4"/>
      <c r="H58" s="4"/>
      <c r="I58" s="4"/>
    </row>
    <row r="59" spans="1:9" ht="15" x14ac:dyDescent="0.3">
      <c r="A59" s="4"/>
      <c r="B59" s="4"/>
      <c r="C59" s="4"/>
      <c r="D59" s="4"/>
      <c r="E59" s="4"/>
      <c r="F59" s="4"/>
      <c r="G59" s="4"/>
      <c r="H59" s="4"/>
      <c r="I59" s="4"/>
    </row>
    <row r="60" spans="1:9" ht="15" x14ac:dyDescent="0.3">
      <c r="A60" s="4"/>
      <c r="B60" s="4"/>
      <c r="C60" s="4"/>
      <c r="D60" s="4"/>
      <c r="E60" s="4"/>
      <c r="F60" s="4"/>
      <c r="G60" s="4"/>
      <c r="H60" s="4"/>
      <c r="I60" s="4"/>
    </row>
    <row r="61" spans="1:9" ht="15" x14ac:dyDescent="0.3">
      <c r="A61" s="4"/>
      <c r="B61" s="4"/>
      <c r="C61" s="4"/>
      <c r="D61" s="4"/>
      <c r="E61" s="4"/>
      <c r="F61" s="4"/>
      <c r="G61" s="4"/>
      <c r="H61" s="4"/>
      <c r="I61" s="4"/>
    </row>
    <row r="62" spans="1:9" ht="15" x14ac:dyDescent="0.3">
      <c r="A62" s="4"/>
      <c r="B62" s="4"/>
      <c r="C62" s="4"/>
      <c r="D62" s="4"/>
      <c r="E62" s="4"/>
      <c r="F62" s="4"/>
      <c r="G62" s="4"/>
      <c r="H62" s="4"/>
      <c r="I62" s="4"/>
    </row>
    <row r="63" spans="1:9" ht="15" x14ac:dyDescent="0.3">
      <c r="A63" s="4"/>
      <c r="B63" s="4"/>
      <c r="C63" s="4"/>
      <c r="D63" s="4"/>
      <c r="E63" s="4"/>
      <c r="F63" s="4"/>
      <c r="G63" s="4"/>
      <c r="H63" s="4"/>
      <c r="I63" s="4"/>
    </row>
    <row r="64" spans="1:9" ht="15" x14ac:dyDescent="0.3">
      <c r="A64" s="4"/>
      <c r="B64" s="4"/>
      <c r="C64" s="4"/>
      <c r="D64" s="4"/>
      <c r="E64" s="4"/>
      <c r="F64" s="4"/>
      <c r="G64" s="4"/>
      <c r="H64" s="4"/>
      <c r="I64" s="4"/>
    </row>
    <row r="65" spans="1:9" ht="15" x14ac:dyDescent="0.3">
      <c r="A65" s="4"/>
      <c r="B65" s="4"/>
      <c r="C65" s="4"/>
      <c r="D65" s="4"/>
      <c r="E65" s="4"/>
      <c r="F65" s="4"/>
      <c r="G65" s="4"/>
      <c r="H65" s="4"/>
      <c r="I65" s="4"/>
    </row>
    <row r="66" spans="1:9" ht="15" x14ac:dyDescent="0.3">
      <c r="A66" s="4"/>
      <c r="B66" s="4"/>
      <c r="C66" s="4"/>
      <c r="D66" s="4"/>
      <c r="E66" s="4"/>
      <c r="F66" s="4"/>
      <c r="G66" s="4"/>
      <c r="H66" s="4"/>
      <c r="I66" s="4"/>
    </row>
    <row r="67" spans="1:9" ht="15" x14ac:dyDescent="0.3">
      <c r="A67" s="4"/>
      <c r="B67" s="4"/>
      <c r="C67" s="4"/>
      <c r="D67" s="4"/>
      <c r="E67" s="4"/>
      <c r="F67" s="4"/>
      <c r="G67" s="4"/>
      <c r="H67" s="4"/>
      <c r="I67" s="4"/>
    </row>
    <row r="68" spans="1:9" ht="15" x14ac:dyDescent="0.3">
      <c r="A68" s="4"/>
      <c r="B68" s="4"/>
      <c r="C68" s="4"/>
      <c r="D68" s="4"/>
      <c r="E68" s="4"/>
      <c r="F68" s="4"/>
      <c r="G68" s="4"/>
      <c r="H68" s="4"/>
      <c r="I68" s="4"/>
    </row>
    <row r="69" spans="1:9" ht="15" x14ac:dyDescent="0.3">
      <c r="A69" s="4"/>
      <c r="B69" s="4"/>
      <c r="C69" s="4"/>
      <c r="D69" s="4"/>
      <c r="E69" s="4"/>
      <c r="F69" s="4"/>
      <c r="G69" s="4"/>
      <c r="H69" s="4"/>
      <c r="I69" s="4"/>
    </row>
    <row r="70" spans="1:9" ht="15" x14ac:dyDescent="0.3">
      <c r="A70" s="4"/>
      <c r="B70" s="4"/>
      <c r="C70" s="4"/>
      <c r="D70" s="4"/>
      <c r="E70" s="4"/>
      <c r="F70" s="4"/>
      <c r="G70" s="4"/>
      <c r="H70" s="4"/>
      <c r="I70" s="4"/>
    </row>
    <row r="71" spans="1:9" ht="15" x14ac:dyDescent="0.3">
      <c r="A71" s="4"/>
      <c r="B71" s="4"/>
      <c r="C71" s="4"/>
      <c r="D71" s="4"/>
      <c r="E71" s="4"/>
      <c r="F71" s="4"/>
      <c r="G71" s="4"/>
      <c r="H71" s="4"/>
      <c r="I71" s="4"/>
    </row>
    <row r="72" spans="1:9" ht="15" x14ac:dyDescent="0.3">
      <c r="A72" s="4"/>
      <c r="B72" s="4"/>
      <c r="C72" s="4"/>
      <c r="D72" s="4"/>
      <c r="E72" s="4"/>
      <c r="F72" s="4"/>
      <c r="G72" s="4"/>
      <c r="H72" s="4"/>
      <c r="I72" s="4"/>
    </row>
    <row r="73" spans="1:9" ht="15" x14ac:dyDescent="0.3">
      <c r="A73" s="4"/>
      <c r="B73" s="4"/>
      <c r="C73" s="4"/>
      <c r="D73" s="4"/>
      <c r="E73" s="4"/>
      <c r="F73" s="4"/>
      <c r="G73" s="4"/>
      <c r="H73" s="4"/>
      <c r="I73" s="4"/>
    </row>
    <row r="74" spans="1:9" ht="15" x14ac:dyDescent="0.3">
      <c r="A74" s="4"/>
      <c r="B74" s="4"/>
      <c r="C74" s="4"/>
      <c r="D74" s="4"/>
      <c r="E74" s="4"/>
      <c r="F74" s="4"/>
      <c r="G74" s="4"/>
      <c r="H74" s="4"/>
      <c r="I74" s="4"/>
    </row>
    <row r="75" spans="1:9" ht="15" x14ac:dyDescent="0.3">
      <c r="A75" s="4"/>
      <c r="B75" s="4"/>
      <c r="C75" s="4"/>
      <c r="D75" s="4"/>
      <c r="E75" s="4"/>
      <c r="F75" s="4"/>
      <c r="G75" s="4"/>
      <c r="H75" s="4"/>
      <c r="I75" s="4"/>
    </row>
    <row r="76" spans="1:9" ht="15" x14ac:dyDescent="0.3">
      <c r="A76" s="4"/>
      <c r="B76" s="4"/>
      <c r="C76" s="4"/>
      <c r="D76" s="4"/>
      <c r="E76" s="4"/>
      <c r="F76" s="4"/>
      <c r="G76" s="4"/>
      <c r="H76" s="4"/>
      <c r="I76" s="4"/>
    </row>
    <row r="77" spans="1:9" ht="15" x14ac:dyDescent="0.3">
      <c r="A77" s="4"/>
      <c r="B77" s="4"/>
      <c r="C77" s="4"/>
      <c r="D77" s="4"/>
      <c r="E77" s="4"/>
      <c r="F77" s="4"/>
      <c r="G77" s="4"/>
      <c r="H77" s="4"/>
      <c r="I77" s="4"/>
    </row>
    <row r="78" spans="1:9" ht="15" x14ac:dyDescent="0.3">
      <c r="A78" s="4"/>
      <c r="B78" s="4"/>
      <c r="C78" s="4"/>
      <c r="D78" s="4"/>
      <c r="E78" s="4"/>
      <c r="F78" s="4"/>
      <c r="G78" s="4"/>
      <c r="H78" s="4"/>
      <c r="I78" s="4"/>
    </row>
    <row r="79" spans="1:9" ht="15" x14ac:dyDescent="0.3">
      <c r="A79" s="4"/>
      <c r="B79" s="4"/>
      <c r="C79" s="4"/>
      <c r="D79" s="4"/>
      <c r="E79" s="4"/>
      <c r="F79" s="4"/>
      <c r="G79" s="4"/>
      <c r="H79" s="4"/>
      <c r="I79" s="4"/>
    </row>
    <row r="80" spans="1:9" ht="15" x14ac:dyDescent="0.3">
      <c r="A80" s="4"/>
      <c r="B80" s="4"/>
      <c r="C80" s="4"/>
      <c r="D80" s="4"/>
      <c r="E80" s="4"/>
      <c r="F80" s="4"/>
      <c r="G80" s="4"/>
      <c r="H80" s="4"/>
      <c r="I80" s="4"/>
    </row>
    <row r="81" spans="1:9" ht="15" x14ac:dyDescent="0.3">
      <c r="A81" s="4"/>
      <c r="B81" s="4"/>
      <c r="C81" s="4"/>
      <c r="D81" s="4"/>
      <c r="E81" s="4"/>
      <c r="F81" s="4"/>
      <c r="G81" s="4"/>
      <c r="H81" s="4"/>
      <c r="I81" s="4"/>
    </row>
    <row r="82" spans="1:9" ht="15" x14ac:dyDescent="0.3">
      <c r="A82" s="4"/>
      <c r="B82" s="4"/>
      <c r="C82" s="4"/>
      <c r="D82" s="4"/>
      <c r="E82" s="4"/>
      <c r="F82" s="4"/>
      <c r="G82" s="4"/>
      <c r="H82" s="4"/>
      <c r="I82" s="4"/>
    </row>
    <row r="83" spans="1:9" ht="15" x14ac:dyDescent="0.3">
      <c r="A83" s="4"/>
      <c r="B83" s="4"/>
      <c r="C83" s="4"/>
      <c r="D83" s="4"/>
      <c r="E83" s="4"/>
      <c r="F83" s="4"/>
      <c r="G83" s="4"/>
      <c r="H83" s="4"/>
      <c r="I83" s="4"/>
    </row>
    <row r="84" spans="1:9" ht="15" x14ac:dyDescent="0.3">
      <c r="A84" s="4"/>
      <c r="B84" s="4"/>
      <c r="C84" s="4"/>
      <c r="D84" s="4"/>
      <c r="E84" s="4"/>
      <c r="F84" s="4"/>
      <c r="G84" s="4"/>
      <c r="H84" s="4"/>
      <c r="I84" s="4"/>
    </row>
    <row r="85" spans="1:9" ht="15" x14ac:dyDescent="0.3">
      <c r="A85" s="4"/>
      <c r="B85" s="4"/>
      <c r="C85" s="4"/>
      <c r="D85" s="4"/>
      <c r="E85" s="4"/>
      <c r="F85" s="4"/>
      <c r="G85" s="4"/>
      <c r="H85" s="4"/>
      <c r="I85" s="4"/>
    </row>
    <row r="86" spans="1:9" ht="15" x14ac:dyDescent="0.3">
      <c r="A86" s="4"/>
      <c r="B86" s="4"/>
      <c r="C86" s="4"/>
      <c r="D86" s="4"/>
      <c r="E86" s="4"/>
      <c r="F86" s="4"/>
      <c r="G86" s="4"/>
      <c r="H86" s="4"/>
      <c r="I86" s="4"/>
    </row>
    <row r="87" spans="1:9" ht="15" x14ac:dyDescent="0.3">
      <c r="A87" s="4"/>
      <c r="B87" s="4"/>
      <c r="C87" s="4"/>
      <c r="D87" s="4"/>
      <c r="E87" s="4"/>
      <c r="F87" s="4"/>
      <c r="G87" s="4"/>
      <c r="H87" s="4"/>
      <c r="I87" s="4"/>
    </row>
    <row r="88" spans="1:9" ht="15" x14ac:dyDescent="0.3">
      <c r="A88" s="4"/>
      <c r="B88" s="4"/>
      <c r="C88" s="4"/>
      <c r="D88" s="4"/>
      <c r="E88" s="4"/>
      <c r="F88" s="4"/>
      <c r="G88" s="4"/>
      <c r="H88" s="4"/>
      <c r="I88" s="4"/>
    </row>
    <row r="89" spans="1:9" ht="15" x14ac:dyDescent="0.3">
      <c r="A89" s="4"/>
      <c r="B89" s="4"/>
      <c r="C89" s="4"/>
      <c r="D89" s="4"/>
      <c r="E89" s="4"/>
      <c r="F89" s="4"/>
      <c r="G89" s="4"/>
      <c r="H89" s="4"/>
      <c r="I89" s="4"/>
    </row>
    <row r="90" spans="1:9" ht="15" x14ac:dyDescent="0.3">
      <c r="A90" s="4"/>
      <c r="B90" s="4"/>
      <c r="C90" s="4"/>
      <c r="D90" s="4"/>
      <c r="E90" s="4"/>
      <c r="F90" s="4"/>
      <c r="G90" s="4"/>
      <c r="H90" s="4"/>
      <c r="I90" s="4"/>
    </row>
    <row r="91" spans="1:9" ht="15" x14ac:dyDescent="0.3">
      <c r="A91" s="4"/>
      <c r="B91" s="4"/>
      <c r="C91" s="4"/>
      <c r="D91" s="4"/>
      <c r="E91" s="4"/>
      <c r="F91" s="4"/>
      <c r="G91" s="4"/>
      <c r="H91" s="4"/>
      <c r="I91" s="4"/>
    </row>
    <row r="92" spans="1:9" ht="15" x14ac:dyDescent="0.3">
      <c r="A92" s="4"/>
      <c r="B92" s="4"/>
      <c r="C92" s="4"/>
      <c r="D92" s="4"/>
      <c r="E92" s="4"/>
      <c r="F92" s="4"/>
      <c r="G92" s="4"/>
      <c r="H92" s="4"/>
      <c r="I92" s="4"/>
    </row>
    <row r="93" spans="1:9" ht="15" x14ac:dyDescent="0.3">
      <c r="A93" s="4"/>
      <c r="B93" s="4"/>
      <c r="C93" s="4"/>
      <c r="D93" s="4"/>
      <c r="E93" s="4"/>
      <c r="F93" s="4"/>
      <c r="G93" s="4"/>
      <c r="H93" s="4"/>
      <c r="I93" s="4"/>
    </row>
    <row r="94" spans="1:9" ht="15" x14ac:dyDescent="0.3">
      <c r="A94" s="4"/>
      <c r="B94" s="4"/>
      <c r="C94" s="4"/>
      <c r="D94" s="4"/>
      <c r="E94" s="4"/>
      <c r="F94" s="4"/>
      <c r="G94" s="4"/>
      <c r="H94" s="4"/>
      <c r="I94" s="4"/>
    </row>
    <row r="95" spans="1:9" ht="15" x14ac:dyDescent="0.3">
      <c r="A95" s="4"/>
      <c r="B95" s="4"/>
      <c r="C95" s="4"/>
      <c r="D95" s="4"/>
      <c r="E95" s="4"/>
      <c r="F95" s="4"/>
      <c r="G95" s="4"/>
      <c r="H95" s="4"/>
      <c r="I95" s="4"/>
    </row>
    <row r="96" spans="1:9" ht="15" x14ac:dyDescent="0.3">
      <c r="A96" s="4"/>
      <c r="B96" s="4"/>
      <c r="C96" s="4"/>
      <c r="D96" s="4"/>
      <c r="E96" s="4"/>
      <c r="F96" s="4"/>
      <c r="G96" s="4"/>
      <c r="H96" s="4"/>
      <c r="I96" s="4"/>
    </row>
    <row r="97" spans="1:9" ht="15" x14ac:dyDescent="0.3">
      <c r="A97" s="4"/>
      <c r="B97" s="4"/>
      <c r="C97" s="4"/>
      <c r="D97" s="4"/>
      <c r="E97" s="4"/>
      <c r="F97" s="4"/>
      <c r="G97" s="4"/>
      <c r="H97" s="4"/>
      <c r="I97" s="4"/>
    </row>
    <row r="98" spans="1:9" ht="15" x14ac:dyDescent="0.3">
      <c r="A98" s="4"/>
      <c r="B98" s="4"/>
      <c r="C98" s="4"/>
      <c r="D98" s="4"/>
      <c r="E98" s="4"/>
      <c r="F98" s="4"/>
      <c r="G98" s="4"/>
      <c r="H98" s="4"/>
      <c r="I98" s="4"/>
    </row>
    <row r="99" spans="1:9" ht="15" x14ac:dyDescent="0.3">
      <c r="A99" s="4"/>
      <c r="B99" s="4"/>
      <c r="C99" s="4"/>
      <c r="D99" s="4"/>
      <c r="E99" s="4"/>
      <c r="F99" s="4"/>
      <c r="G99" s="4"/>
      <c r="H99" s="4"/>
      <c r="I99" s="4"/>
    </row>
  </sheetData>
  <mergeCells count="40">
    <mergeCell ref="M34:U34"/>
    <mergeCell ref="G36:H36"/>
    <mergeCell ref="A36:B36"/>
    <mergeCell ref="B19:D19"/>
    <mergeCell ref="A1:I2"/>
    <mergeCell ref="F8:G8"/>
    <mergeCell ref="A10:E10"/>
    <mergeCell ref="A11:E11"/>
    <mergeCell ref="A12:E12"/>
    <mergeCell ref="A13:E13"/>
    <mergeCell ref="A14:E14"/>
    <mergeCell ref="A15:E15"/>
    <mergeCell ref="A16:E16"/>
    <mergeCell ref="A18:E18"/>
    <mergeCell ref="F18:I18"/>
    <mergeCell ref="F13:I13"/>
    <mergeCell ref="B20:D20"/>
    <mergeCell ref="C21:F22"/>
    <mergeCell ref="C25:F25"/>
    <mergeCell ref="A21:B22"/>
    <mergeCell ref="A24:B24"/>
    <mergeCell ref="A25:B25"/>
    <mergeCell ref="A26:B26"/>
    <mergeCell ref="A27:B27"/>
    <mergeCell ref="E29:F29"/>
    <mergeCell ref="C29:D29"/>
    <mergeCell ref="I21:I22"/>
    <mergeCell ref="C24:F24"/>
    <mergeCell ref="C26:F26"/>
    <mergeCell ref="C28:F28"/>
    <mergeCell ref="G21:G22"/>
    <mergeCell ref="H21:H22"/>
    <mergeCell ref="C34:F34"/>
    <mergeCell ref="C33:F33"/>
    <mergeCell ref="C30:D30"/>
    <mergeCell ref="E30:F30"/>
    <mergeCell ref="E31:F31"/>
    <mergeCell ref="C31:D31"/>
    <mergeCell ref="E32:F32"/>
    <mergeCell ref="C32:D32"/>
  </mergeCells>
  <phoneticPr fontId="2" type="noConversion"/>
  <printOptions horizontalCentered="1"/>
  <pageMargins left="0.70866141732283472" right="0.70866141732283472" top="0.94488188976377963" bottom="0.74803149606299213" header="0.31496062992125984" footer="0.31496062992125984"/>
  <pageSetup paperSize="9" scale="85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93"/>
  <sheetViews>
    <sheetView view="pageBreakPreview" topLeftCell="A9" zoomScale="85" zoomScaleNormal="85" zoomScaleSheetLayoutView="85" workbookViewId="0">
      <selection activeCell="H29" sqref="H29"/>
    </sheetView>
  </sheetViews>
  <sheetFormatPr defaultRowHeight="14.4" x14ac:dyDescent="0.25"/>
  <cols>
    <col min="1" max="1" width="11.296875" customWidth="1"/>
    <col min="2" max="2" width="4.69921875" customWidth="1"/>
    <col min="4" max="4" width="14.59765625" customWidth="1"/>
    <col min="5" max="5" width="6.19921875" customWidth="1"/>
    <col min="6" max="6" width="10.19921875" customWidth="1"/>
    <col min="7" max="7" width="8" customWidth="1"/>
    <col min="8" max="8" width="9.59765625" customWidth="1"/>
    <col min="9" max="9" width="15.796875" customWidth="1"/>
  </cols>
  <sheetData>
    <row r="1" spans="1:9" s="1" customFormat="1" ht="19.95" customHeight="1" thickTop="1" x14ac:dyDescent="0.25">
      <c r="A1" s="124" t="s">
        <v>28</v>
      </c>
      <c r="B1" s="125"/>
      <c r="C1" s="125"/>
      <c r="D1" s="125"/>
      <c r="E1" s="125"/>
      <c r="F1" s="125"/>
      <c r="G1" s="125"/>
      <c r="H1" s="125"/>
      <c r="I1" s="126"/>
    </row>
    <row r="2" spans="1:9" s="1" customFormat="1" ht="19.95" customHeight="1" thickBot="1" x14ac:dyDescent="0.3">
      <c r="A2" s="127"/>
      <c r="B2" s="128"/>
      <c r="C2" s="128"/>
      <c r="D2" s="128"/>
      <c r="E2" s="128"/>
      <c r="F2" s="128"/>
      <c r="G2" s="128"/>
      <c r="H2" s="128"/>
      <c r="I2" s="129"/>
    </row>
    <row r="3" spans="1:9" s="1" customFormat="1" ht="19.95" customHeight="1" thickTop="1" x14ac:dyDescent="0.25">
      <c r="A3" s="5" t="s">
        <v>0</v>
      </c>
      <c r="B3" s="6"/>
      <c r="C3" s="6"/>
      <c r="D3" s="6"/>
      <c r="E3" s="6"/>
      <c r="F3" s="5" t="s">
        <v>83</v>
      </c>
      <c r="G3" s="6"/>
      <c r="H3" s="6"/>
      <c r="I3" s="7"/>
    </row>
    <row r="4" spans="1:9" s="1" customFormat="1" ht="19.95" customHeight="1" thickBot="1" x14ac:dyDescent="0.3">
      <c r="A4" s="8" t="s">
        <v>14</v>
      </c>
      <c r="B4" s="9"/>
      <c r="C4" s="9"/>
      <c r="D4" s="9"/>
      <c r="E4" s="10"/>
      <c r="F4" s="17" t="s">
        <v>82</v>
      </c>
      <c r="G4" s="12"/>
      <c r="H4" s="12"/>
      <c r="I4" s="13"/>
    </row>
    <row r="5" spans="1:9" s="1" customFormat="1" ht="19.95" customHeight="1" thickTop="1" x14ac:dyDescent="0.25">
      <c r="A5" s="11" t="s">
        <v>15</v>
      </c>
      <c r="B5" s="12"/>
      <c r="C5" s="12"/>
      <c r="D5" s="12"/>
      <c r="E5" s="12"/>
      <c r="F5" s="5" t="s">
        <v>1</v>
      </c>
      <c r="G5" s="6"/>
      <c r="H5" s="6"/>
      <c r="I5" s="7"/>
    </row>
    <row r="6" spans="1:9" s="1" customFormat="1" ht="19.95" customHeight="1" thickBot="1" x14ac:dyDescent="0.3">
      <c r="A6" s="11" t="s">
        <v>19</v>
      </c>
      <c r="B6" s="12"/>
      <c r="C6" s="12"/>
      <c r="D6" s="12"/>
      <c r="E6" s="12"/>
      <c r="F6" s="14"/>
      <c r="G6" s="15"/>
      <c r="H6" s="15"/>
      <c r="I6" s="16"/>
    </row>
    <row r="7" spans="1:9" s="1" customFormat="1" ht="19.95" customHeight="1" thickTop="1" x14ac:dyDescent="0.25">
      <c r="A7" s="11" t="s">
        <v>16</v>
      </c>
      <c r="B7" s="12"/>
      <c r="C7" s="12"/>
      <c r="D7" s="12"/>
      <c r="E7" s="12"/>
      <c r="F7" s="17" t="s">
        <v>2</v>
      </c>
      <c r="G7" s="12"/>
      <c r="H7" s="12"/>
      <c r="I7" s="13"/>
    </row>
    <row r="8" spans="1:9" s="1" customFormat="1" ht="19.95" customHeight="1" thickBot="1" x14ac:dyDescent="0.3">
      <c r="A8" s="14" t="s">
        <v>17</v>
      </c>
      <c r="B8" s="15"/>
      <c r="C8" s="15"/>
      <c r="D8" s="15"/>
      <c r="E8" s="16"/>
      <c r="F8" s="130" t="str">
        <f>'INVOICE '!F8</f>
        <v>CGDD2512177314</v>
      </c>
      <c r="G8" s="131"/>
      <c r="H8" s="15"/>
      <c r="I8" s="16"/>
    </row>
    <row r="9" spans="1:9" s="1" customFormat="1" ht="19.95" customHeight="1" thickTop="1" x14ac:dyDescent="0.25">
      <c r="A9" s="5" t="s">
        <v>3</v>
      </c>
      <c r="B9" s="6"/>
      <c r="C9" s="6"/>
      <c r="D9" s="6"/>
      <c r="E9" s="7"/>
      <c r="F9" s="18" t="s">
        <v>4</v>
      </c>
      <c r="G9" s="12"/>
      <c r="H9" s="12"/>
      <c r="I9" s="13"/>
    </row>
    <row r="10" spans="1:9" s="1" customFormat="1" ht="19.95" customHeight="1" x14ac:dyDescent="0.25">
      <c r="A10" s="112" t="s">
        <v>20</v>
      </c>
      <c r="B10" s="113"/>
      <c r="C10" s="113"/>
      <c r="D10" s="113"/>
      <c r="E10" s="114"/>
      <c r="F10" s="12" t="s">
        <v>38</v>
      </c>
      <c r="G10" s="12"/>
      <c r="H10" s="12"/>
      <c r="I10" s="13"/>
    </row>
    <row r="11" spans="1:9" s="1" customFormat="1" ht="19.95" customHeight="1" x14ac:dyDescent="0.25">
      <c r="A11" s="112" t="s">
        <v>22</v>
      </c>
      <c r="B11" s="113"/>
      <c r="C11" s="113"/>
      <c r="D11" s="113"/>
      <c r="E11" s="114"/>
      <c r="F11" s="12" t="s">
        <v>39</v>
      </c>
      <c r="G11" s="12"/>
      <c r="H11" s="12"/>
      <c r="I11" s="13"/>
    </row>
    <row r="12" spans="1:9" s="1" customFormat="1" ht="19.95" customHeight="1" x14ac:dyDescent="0.25">
      <c r="A12" s="112" t="s">
        <v>23</v>
      </c>
      <c r="B12" s="113"/>
      <c r="C12" s="113"/>
      <c r="D12" s="113"/>
      <c r="E12" s="114"/>
      <c r="F12" s="12" t="s">
        <v>40</v>
      </c>
      <c r="G12" s="12"/>
      <c r="H12" s="12"/>
      <c r="I12" s="13"/>
    </row>
    <row r="13" spans="1:9" s="1" customFormat="1" ht="19.95" customHeight="1" x14ac:dyDescent="0.25">
      <c r="A13" s="112"/>
      <c r="B13" s="113"/>
      <c r="C13" s="113"/>
      <c r="D13" s="113"/>
      <c r="E13" s="114"/>
      <c r="F13" s="12"/>
      <c r="G13" s="12"/>
      <c r="H13" s="12"/>
      <c r="I13" s="13"/>
    </row>
    <row r="14" spans="1:9" s="1" customFormat="1" ht="19.95" customHeight="1" x14ac:dyDescent="0.25">
      <c r="A14" s="115"/>
      <c r="B14" s="113"/>
      <c r="C14" s="113"/>
      <c r="D14" s="113"/>
      <c r="E14" s="114"/>
      <c r="F14" s="12" t="str">
        <f>'INVOICE '!F14</f>
        <v>PIC: Debao.Chen</v>
      </c>
      <c r="G14" s="12"/>
      <c r="H14" s="12"/>
      <c r="I14" s="13"/>
    </row>
    <row r="15" spans="1:9" s="1" customFormat="1" ht="19.95" customHeight="1" x14ac:dyDescent="0.25">
      <c r="A15" s="116" t="s">
        <v>25</v>
      </c>
      <c r="B15" s="117"/>
      <c r="C15" s="117"/>
      <c r="D15" s="117"/>
      <c r="E15" s="118"/>
      <c r="F15" s="12" t="str">
        <f>'INVOICE '!F15</f>
        <v>Mobile: +86-18262408589</v>
      </c>
      <c r="G15" s="12"/>
      <c r="H15" s="12"/>
      <c r="I15" s="13"/>
    </row>
    <row r="16" spans="1:9" s="1" customFormat="1" ht="19.95" customHeight="1" x14ac:dyDescent="0.25">
      <c r="A16" s="116" t="s">
        <v>24</v>
      </c>
      <c r="B16" s="117"/>
      <c r="C16" s="117"/>
      <c r="D16" s="117"/>
      <c r="E16" s="118"/>
      <c r="F16" s="11" t="str">
        <f>'INVOICE '!F16</f>
        <v>e-mail : debao.chen@nasn-auto.com</v>
      </c>
      <c r="G16" s="12"/>
      <c r="H16" s="12"/>
      <c r="I16" s="13"/>
    </row>
    <row r="17" spans="1:9" s="1" customFormat="1" ht="19.95" customHeight="1" thickBot="1" x14ac:dyDescent="0.3">
      <c r="A17" s="46" t="s">
        <v>21</v>
      </c>
      <c r="B17" s="47"/>
      <c r="C17" s="47"/>
      <c r="D17" s="48"/>
      <c r="E17" s="49"/>
      <c r="F17" s="17" t="s">
        <v>12</v>
      </c>
      <c r="G17" s="12"/>
      <c r="H17" s="15" t="s">
        <v>18</v>
      </c>
      <c r="I17" s="16"/>
    </row>
    <row r="18" spans="1:9" s="1" customFormat="1" ht="19.95" customHeight="1" thickTop="1" x14ac:dyDescent="0.25">
      <c r="A18" s="5" t="s">
        <v>41</v>
      </c>
      <c r="B18" s="123" t="s">
        <v>11</v>
      </c>
      <c r="C18" s="123"/>
      <c r="D18" s="123"/>
      <c r="E18" s="55"/>
      <c r="F18" s="119" t="str">
        <f>'INVOICE '!F18:I18</f>
        <v>VESSEL / FLIGHT : VESSEL</v>
      </c>
      <c r="G18" s="120"/>
      <c r="H18" s="121"/>
      <c r="I18" s="122"/>
    </row>
    <row r="19" spans="1:9" s="1" customFormat="1" ht="19.95" customHeight="1" thickBot="1" x14ac:dyDescent="0.3">
      <c r="A19" s="38" t="s">
        <v>42</v>
      </c>
      <c r="B19" s="134" t="str">
        <f>'INVOICE '!B20:D20</f>
        <v>Shanghai, China</v>
      </c>
      <c r="C19" s="134"/>
      <c r="D19" s="134"/>
      <c r="E19" s="16"/>
      <c r="F19" s="38" t="str">
        <f>'INVOICE '!F20</f>
        <v>DAP</v>
      </c>
      <c r="G19" s="134"/>
      <c r="H19" s="134"/>
      <c r="I19" s="135"/>
    </row>
    <row r="20" spans="1:9" s="1" customFormat="1" ht="19.95" customHeight="1" thickTop="1" x14ac:dyDescent="0.25">
      <c r="A20" s="141" t="s">
        <v>7</v>
      </c>
      <c r="B20" s="143" t="s">
        <v>8</v>
      </c>
      <c r="C20" s="145" t="s">
        <v>29</v>
      </c>
      <c r="D20" s="146"/>
      <c r="E20" s="149" t="s">
        <v>30</v>
      </c>
      <c r="F20" s="149" t="s">
        <v>31</v>
      </c>
      <c r="G20" s="151" t="s">
        <v>32</v>
      </c>
      <c r="H20" s="151" t="s">
        <v>33</v>
      </c>
      <c r="I20" s="153" t="s">
        <v>34</v>
      </c>
    </row>
    <row r="21" spans="1:9" s="1" customFormat="1" ht="19.95" customHeight="1" x14ac:dyDescent="0.25">
      <c r="A21" s="142"/>
      <c r="B21" s="144"/>
      <c r="C21" s="147"/>
      <c r="D21" s="148"/>
      <c r="E21" s="150"/>
      <c r="F21" s="150"/>
      <c r="G21" s="152"/>
      <c r="H21" s="152"/>
      <c r="I21" s="154"/>
    </row>
    <row r="22" spans="1:9" s="1" customFormat="1" ht="19.95" customHeight="1" x14ac:dyDescent="0.25">
      <c r="A22" s="132" t="s">
        <v>53</v>
      </c>
      <c r="B22" s="78">
        <v>1</v>
      </c>
      <c r="C22" s="155" t="s">
        <v>67</v>
      </c>
      <c r="D22" s="156"/>
      <c r="E22" s="67" t="s">
        <v>35</v>
      </c>
      <c r="F22" s="95">
        <f>'INVOICE '!$G$24</f>
        <v>128216</v>
      </c>
      <c r="G22" s="79">
        <v>5.2</v>
      </c>
      <c r="H22" s="68">
        <f>F22*G22</f>
        <v>666723.20000000007</v>
      </c>
      <c r="I22" s="80"/>
    </row>
    <row r="23" spans="1:9" s="1" customFormat="1" ht="19.95" customHeight="1" x14ac:dyDescent="0.25">
      <c r="A23" s="140"/>
      <c r="B23" s="65">
        <v>2</v>
      </c>
      <c r="C23" s="138" t="s">
        <v>36</v>
      </c>
      <c r="D23" s="139"/>
      <c r="E23" s="51" t="s">
        <v>35</v>
      </c>
      <c r="F23" s="96">
        <f>F24*11</f>
        <v>1364</v>
      </c>
      <c r="G23" s="52">
        <v>155</v>
      </c>
      <c r="H23" s="53">
        <f>F23*G23</f>
        <v>211420</v>
      </c>
      <c r="I23" s="81"/>
    </row>
    <row r="24" spans="1:9" s="1" customFormat="1" ht="19.95" customHeight="1" x14ac:dyDescent="0.25">
      <c r="A24" s="140"/>
      <c r="B24" s="82">
        <v>3</v>
      </c>
      <c r="C24" s="136" t="s">
        <v>68</v>
      </c>
      <c r="D24" s="137"/>
      <c r="E24" s="51" t="s">
        <v>35</v>
      </c>
      <c r="F24" s="97">
        <f>ROUNDUP(F22/1034,0.1)</f>
        <v>124</v>
      </c>
      <c r="G24" s="58">
        <v>800</v>
      </c>
      <c r="H24" s="53">
        <f>F24*G24</f>
        <v>99200</v>
      </c>
      <c r="I24" s="83"/>
    </row>
    <row r="25" spans="1:9" s="1" customFormat="1" ht="19.95" customHeight="1" x14ac:dyDescent="0.25">
      <c r="A25" s="140"/>
      <c r="B25" s="70">
        <v>4</v>
      </c>
      <c r="C25" s="101" t="s">
        <v>50</v>
      </c>
      <c r="D25" s="102"/>
      <c r="E25" s="66" t="s">
        <v>51</v>
      </c>
      <c r="F25" s="98">
        <f>ROUNDUP(F24/27,0.1)</f>
        <v>5</v>
      </c>
      <c r="G25" s="71">
        <v>7200</v>
      </c>
      <c r="H25" s="69">
        <f>F25*G25</f>
        <v>36000</v>
      </c>
      <c r="I25" s="84"/>
    </row>
    <row r="26" spans="1:9" s="1" customFormat="1" ht="19.95" customHeight="1" x14ac:dyDescent="0.25">
      <c r="A26" s="140"/>
      <c r="B26" s="109" t="s">
        <v>54</v>
      </c>
      <c r="C26" s="110"/>
      <c r="D26" s="110"/>
      <c r="E26" s="110"/>
      <c r="F26" s="110"/>
      <c r="G26" s="111"/>
      <c r="H26" s="50">
        <f>SUM(H22:H25)</f>
        <v>1013343.2000000001</v>
      </c>
      <c r="I26" s="27"/>
    </row>
    <row r="27" spans="1:9" ht="39.450000000000003" customHeight="1" x14ac:dyDescent="0.25">
      <c r="A27" s="132" t="s">
        <v>55</v>
      </c>
      <c r="B27" s="61" t="s">
        <v>56</v>
      </c>
      <c r="C27" s="103" t="s">
        <v>57</v>
      </c>
      <c r="D27" s="104"/>
      <c r="E27" s="105" t="s">
        <v>58</v>
      </c>
      <c r="F27" s="106"/>
      <c r="G27" s="72" t="s">
        <v>59</v>
      </c>
      <c r="H27" s="73" t="s">
        <v>60</v>
      </c>
      <c r="I27" s="85" t="s">
        <v>61</v>
      </c>
    </row>
    <row r="28" spans="1:9" ht="19.95" customHeight="1" x14ac:dyDescent="0.25">
      <c r="A28" s="133"/>
      <c r="B28" s="74">
        <v>1</v>
      </c>
      <c r="C28" s="107" t="s">
        <v>37</v>
      </c>
      <c r="D28" s="108"/>
      <c r="E28" s="107" t="s">
        <v>69</v>
      </c>
      <c r="F28" s="108"/>
      <c r="G28" s="89">
        <f>F25</f>
        <v>5</v>
      </c>
      <c r="H28" s="75">
        <f>H26/1000</f>
        <v>1013.3432</v>
      </c>
      <c r="I28" s="86"/>
    </row>
    <row r="29" spans="1:9" s="1" customFormat="1" ht="19.95" customHeight="1" x14ac:dyDescent="0.25">
      <c r="A29" s="87"/>
      <c r="C29" s="100"/>
      <c r="D29" s="100"/>
      <c r="E29" s="100"/>
      <c r="F29" s="100"/>
      <c r="G29" s="35"/>
      <c r="I29" s="88"/>
    </row>
    <row r="30" spans="1:9" s="1" customFormat="1" ht="19.95" customHeight="1" x14ac:dyDescent="0.25">
      <c r="A30" s="87"/>
      <c r="C30" s="100"/>
      <c r="D30" s="100"/>
      <c r="E30" s="100"/>
      <c r="F30" s="100"/>
      <c r="I30" s="88"/>
    </row>
    <row r="31" spans="1:9" s="1" customFormat="1" ht="15" customHeight="1" x14ac:dyDescent="0.25">
      <c r="A31" s="17"/>
      <c r="B31" s="31"/>
      <c r="C31" s="100"/>
      <c r="D31" s="100"/>
      <c r="E31" s="100"/>
      <c r="F31" s="100"/>
      <c r="G31" s="33" t="s">
        <v>62</v>
      </c>
      <c r="H31" s="33"/>
      <c r="I31" s="34"/>
    </row>
    <row r="32" spans="1:9" s="1" customFormat="1" ht="15" customHeight="1" x14ac:dyDescent="0.25">
      <c r="A32" s="24"/>
      <c r="B32" s="33"/>
      <c r="C32" s="33"/>
      <c r="D32" s="33"/>
      <c r="E32" s="33"/>
      <c r="G32" s="33"/>
      <c r="H32" s="33"/>
      <c r="I32" s="34"/>
    </row>
    <row r="33" spans="1:9" s="1" customFormat="1" ht="15" customHeight="1" x14ac:dyDescent="0.25">
      <c r="A33" s="17"/>
      <c r="B33" s="31"/>
      <c r="C33" s="31"/>
      <c r="D33" s="36"/>
      <c r="E33" s="33"/>
      <c r="F33" s="36"/>
      <c r="G33" s="33"/>
      <c r="H33" s="33"/>
      <c r="I33" s="34"/>
    </row>
    <row r="34" spans="1:9" s="1" customFormat="1" ht="15" customHeight="1" x14ac:dyDescent="0.25">
      <c r="A34" s="17"/>
      <c r="B34" s="31"/>
      <c r="C34" s="31"/>
      <c r="D34" s="36"/>
      <c r="E34" s="31"/>
      <c r="F34" s="36"/>
      <c r="G34" s="33"/>
      <c r="H34" s="33"/>
      <c r="I34" s="34"/>
    </row>
    <row r="35" spans="1:9" s="1" customFormat="1" ht="15" customHeight="1" x14ac:dyDescent="0.25">
      <c r="A35" s="17"/>
      <c r="B35" s="31"/>
      <c r="C35" s="31"/>
      <c r="D35" s="36"/>
      <c r="E35" s="31"/>
      <c r="F35" s="33"/>
      <c r="G35" s="33"/>
      <c r="H35" s="33"/>
      <c r="I35" s="34"/>
    </row>
    <row r="36" spans="1:9" s="1" customFormat="1" ht="15" customHeight="1" x14ac:dyDescent="0.25">
      <c r="A36" s="17"/>
      <c r="B36" s="31"/>
      <c r="C36" s="31"/>
      <c r="D36" s="36"/>
      <c r="E36" s="31"/>
      <c r="F36" s="33"/>
      <c r="G36" s="33"/>
      <c r="H36" s="33"/>
      <c r="I36" s="34"/>
    </row>
    <row r="37" spans="1:9" s="1" customFormat="1" ht="15" customHeight="1" x14ac:dyDescent="0.25">
      <c r="A37" s="17"/>
      <c r="B37" s="31"/>
      <c r="C37" s="31"/>
      <c r="D37" s="36"/>
      <c r="E37" s="31"/>
      <c r="F37" s="33"/>
      <c r="G37" s="33"/>
      <c r="H37" s="33"/>
      <c r="I37" s="34"/>
    </row>
    <row r="38" spans="1:9" s="1" customFormat="1" ht="15" customHeight="1" thickBot="1" x14ac:dyDescent="0.3">
      <c r="A38" s="38"/>
      <c r="B38" s="39"/>
      <c r="C38" s="39"/>
      <c r="D38" s="40"/>
      <c r="E38" s="39"/>
      <c r="F38" s="41"/>
      <c r="G38" s="41"/>
      <c r="H38" s="41"/>
      <c r="I38" s="42"/>
    </row>
    <row r="39" spans="1:9" s="1" customFormat="1" ht="15" thickTop="1" x14ac:dyDescent="0.25">
      <c r="A39" s="3"/>
      <c r="B39" s="3"/>
      <c r="C39" s="3"/>
      <c r="D39" s="3"/>
      <c r="E39" s="3"/>
      <c r="F39" s="3"/>
      <c r="G39" s="3"/>
      <c r="H39" s="3"/>
      <c r="I39" s="3"/>
    </row>
    <row r="40" spans="1:9" s="1" customFormat="1" x14ac:dyDescent="0.25">
      <c r="A40" s="3"/>
      <c r="B40" s="3"/>
      <c r="C40" s="3"/>
      <c r="D40" s="3"/>
      <c r="E40" s="3"/>
      <c r="F40" s="3"/>
      <c r="G40" s="3"/>
      <c r="H40" s="3"/>
      <c r="I40" s="3"/>
    </row>
    <row r="41" spans="1:9" s="1" customFormat="1" x14ac:dyDescent="0.25">
      <c r="A41" s="3"/>
      <c r="B41" s="3"/>
      <c r="C41" s="3"/>
      <c r="D41" s="3"/>
      <c r="E41" s="3"/>
      <c r="F41" s="3"/>
      <c r="G41" s="3"/>
      <c r="H41" s="3"/>
      <c r="I41" s="3"/>
    </row>
    <row r="42" spans="1:9" s="1" customFormat="1" x14ac:dyDescent="0.25">
      <c r="A42" s="3"/>
      <c r="B42" s="3"/>
      <c r="C42" s="3"/>
      <c r="D42" s="3"/>
      <c r="E42" s="3"/>
      <c r="F42" s="3"/>
      <c r="G42" s="3"/>
      <c r="H42" s="3"/>
      <c r="I42" s="3"/>
    </row>
    <row r="43" spans="1:9" s="1" customFormat="1" x14ac:dyDescent="0.25">
      <c r="A43" s="3"/>
      <c r="B43" s="3"/>
      <c r="C43" s="3"/>
      <c r="D43" s="3"/>
      <c r="E43" s="3"/>
      <c r="F43" s="3"/>
      <c r="G43" s="3"/>
      <c r="H43" s="3"/>
      <c r="I43" s="3"/>
    </row>
    <row r="44" spans="1:9" s="1" customFormat="1" x14ac:dyDescent="0.25">
      <c r="A44" s="3"/>
      <c r="B44" s="3"/>
      <c r="C44" s="3"/>
      <c r="D44" s="3"/>
      <c r="E44" s="3"/>
      <c r="F44" s="3"/>
      <c r="G44" s="3"/>
      <c r="H44" s="3"/>
      <c r="I44" s="3"/>
    </row>
    <row r="45" spans="1:9" s="1" customFormat="1" x14ac:dyDescent="0.25">
      <c r="A45" s="3"/>
      <c r="B45" s="3"/>
      <c r="C45" s="3"/>
      <c r="D45" s="3"/>
      <c r="E45" s="3"/>
      <c r="F45" s="3"/>
      <c r="G45" s="3"/>
      <c r="H45" s="3"/>
      <c r="I45" s="3"/>
    </row>
    <row r="46" spans="1:9" s="1" customFormat="1" x14ac:dyDescent="0.25">
      <c r="A46" s="3"/>
      <c r="B46" s="3"/>
      <c r="C46" s="3"/>
      <c r="D46" s="3"/>
      <c r="E46" s="3"/>
      <c r="F46" s="3"/>
      <c r="G46" s="3"/>
      <c r="H46" s="3"/>
      <c r="I46" s="3"/>
    </row>
    <row r="47" spans="1:9" s="1" customFormat="1" x14ac:dyDescent="0.25">
      <c r="A47" s="3"/>
      <c r="B47" s="3"/>
      <c r="C47" s="3"/>
      <c r="D47" s="3"/>
      <c r="E47" s="3"/>
      <c r="F47" s="3"/>
      <c r="G47" s="3"/>
      <c r="H47" s="3"/>
      <c r="I47" s="3"/>
    </row>
    <row r="48" spans="1:9" s="1" customFormat="1" x14ac:dyDescent="0.25">
      <c r="A48" s="3"/>
      <c r="B48" s="3"/>
      <c r="C48" s="3"/>
      <c r="D48" s="3"/>
      <c r="E48" s="3"/>
      <c r="F48" s="3"/>
      <c r="G48" s="3"/>
      <c r="H48" s="3"/>
      <c r="I48" s="3"/>
    </row>
    <row r="49" spans="1:9" s="1" customFormat="1" x14ac:dyDescent="0.25">
      <c r="A49" s="3"/>
      <c r="B49" s="3"/>
      <c r="C49" s="3"/>
      <c r="D49" s="3"/>
      <c r="E49" s="3"/>
      <c r="F49" s="3"/>
      <c r="G49" s="3"/>
      <c r="H49" s="3"/>
      <c r="I49" s="3"/>
    </row>
    <row r="50" spans="1:9" ht="15" x14ac:dyDescent="0.3">
      <c r="A50" s="4"/>
      <c r="B50" s="4"/>
      <c r="C50" s="4"/>
      <c r="D50" s="4"/>
      <c r="E50" s="4"/>
      <c r="F50" s="4"/>
      <c r="G50" s="4"/>
      <c r="H50" s="4"/>
      <c r="I50" s="4"/>
    </row>
    <row r="51" spans="1:9" ht="15" x14ac:dyDescent="0.3">
      <c r="A51" s="4"/>
      <c r="B51" s="4"/>
      <c r="C51" s="4"/>
      <c r="D51" s="4"/>
      <c r="E51" s="4"/>
      <c r="F51" s="4"/>
      <c r="G51" s="4"/>
      <c r="H51" s="4"/>
      <c r="I51" s="4"/>
    </row>
    <row r="52" spans="1:9" ht="15" x14ac:dyDescent="0.3">
      <c r="A52" s="4"/>
      <c r="B52" s="4"/>
      <c r="C52" s="4"/>
      <c r="D52" s="4"/>
      <c r="E52" s="4"/>
      <c r="F52" s="4"/>
      <c r="G52" s="4"/>
      <c r="H52" s="4"/>
      <c r="I52" s="4"/>
    </row>
    <row r="53" spans="1:9" ht="15" x14ac:dyDescent="0.3">
      <c r="A53" s="4"/>
      <c r="B53" s="4"/>
      <c r="C53" s="4"/>
      <c r="D53" s="4"/>
      <c r="E53" s="4"/>
      <c r="F53" s="4"/>
      <c r="G53" s="4"/>
      <c r="H53" s="4"/>
      <c r="I53" s="4"/>
    </row>
    <row r="54" spans="1:9" ht="15" x14ac:dyDescent="0.3">
      <c r="A54" s="4"/>
      <c r="B54" s="4"/>
      <c r="C54" s="4"/>
      <c r="D54" s="4"/>
      <c r="E54" s="4"/>
      <c r="F54" s="4"/>
      <c r="G54" s="4"/>
      <c r="H54" s="4"/>
      <c r="I54" s="4"/>
    </row>
    <row r="55" spans="1:9" ht="15" x14ac:dyDescent="0.3">
      <c r="A55" s="4"/>
      <c r="B55" s="4"/>
      <c r="C55" s="4"/>
      <c r="D55" s="4"/>
      <c r="E55" s="4"/>
      <c r="F55" s="4"/>
      <c r="G55" s="4"/>
      <c r="H55" s="4"/>
      <c r="I55" s="4"/>
    </row>
    <row r="56" spans="1:9" ht="15" x14ac:dyDescent="0.3">
      <c r="A56" s="4"/>
      <c r="B56" s="4"/>
      <c r="C56" s="4"/>
      <c r="D56" s="4"/>
      <c r="E56" s="4"/>
      <c r="F56" s="4"/>
      <c r="G56" s="4"/>
      <c r="H56" s="4"/>
      <c r="I56" s="4"/>
    </row>
    <row r="57" spans="1:9" ht="15" x14ac:dyDescent="0.3">
      <c r="A57" s="4"/>
      <c r="B57" s="4"/>
      <c r="C57" s="4"/>
      <c r="D57" s="4"/>
      <c r="E57" s="4"/>
      <c r="F57" s="4"/>
      <c r="G57" s="4"/>
      <c r="H57" s="4"/>
      <c r="I57" s="4"/>
    </row>
    <row r="58" spans="1:9" ht="15" x14ac:dyDescent="0.3">
      <c r="A58" s="4"/>
      <c r="B58" s="4"/>
      <c r="C58" s="4"/>
      <c r="D58" s="4"/>
      <c r="E58" s="4"/>
      <c r="F58" s="4"/>
      <c r="G58" s="4"/>
      <c r="H58" s="4"/>
      <c r="I58" s="4"/>
    </row>
    <row r="59" spans="1:9" ht="15" x14ac:dyDescent="0.3">
      <c r="A59" s="4"/>
      <c r="B59" s="4"/>
      <c r="C59" s="4"/>
      <c r="D59" s="4"/>
      <c r="E59" s="4"/>
      <c r="F59" s="4"/>
      <c r="G59" s="4"/>
      <c r="H59" s="4"/>
      <c r="I59" s="4"/>
    </row>
    <row r="60" spans="1:9" ht="15" x14ac:dyDescent="0.3">
      <c r="A60" s="4"/>
      <c r="B60" s="4"/>
      <c r="C60" s="4"/>
      <c r="D60" s="4"/>
      <c r="E60" s="4"/>
      <c r="F60" s="4"/>
      <c r="G60" s="4"/>
      <c r="H60" s="4"/>
      <c r="I60" s="4"/>
    </row>
    <row r="61" spans="1:9" ht="15" x14ac:dyDescent="0.3">
      <c r="A61" s="4"/>
      <c r="B61" s="4"/>
      <c r="C61" s="4"/>
      <c r="D61" s="4"/>
      <c r="E61" s="4"/>
      <c r="F61" s="4"/>
      <c r="G61" s="4"/>
      <c r="H61" s="4"/>
      <c r="I61" s="4"/>
    </row>
    <row r="62" spans="1:9" ht="15" x14ac:dyDescent="0.3">
      <c r="A62" s="4"/>
      <c r="B62" s="4"/>
      <c r="C62" s="4"/>
      <c r="D62" s="4"/>
      <c r="E62" s="4"/>
      <c r="F62" s="4"/>
      <c r="G62" s="4"/>
      <c r="H62" s="4"/>
      <c r="I62" s="4"/>
    </row>
    <row r="63" spans="1:9" ht="15" x14ac:dyDescent="0.3">
      <c r="A63" s="4"/>
      <c r="B63" s="4"/>
      <c r="C63" s="4"/>
      <c r="D63" s="4"/>
      <c r="E63" s="4"/>
      <c r="F63" s="4"/>
      <c r="G63" s="4"/>
      <c r="H63" s="4"/>
      <c r="I63" s="4"/>
    </row>
    <row r="64" spans="1:9" ht="15" x14ac:dyDescent="0.3">
      <c r="A64" s="4"/>
      <c r="B64" s="4"/>
      <c r="C64" s="4"/>
      <c r="D64" s="4"/>
      <c r="E64" s="4"/>
      <c r="F64" s="4"/>
      <c r="G64" s="4"/>
      <c r="H64" s="4"/>
      <c r="I64" s="4"/>
    </row>
    <row r="65" spans="1:9" ht="15" x14ac:dyDescent="0.3">
      <c r="A65" s="4"/>
      <c r="B65" s="4"/>
      <c r="C65" s="4"/>
      <c r="D65" s="4"/>
      <c r="E65" s="4"/>
      <c r="F65" s="4"/>
      <c r="G65" s="4"/>
      <c r="H65" s="4"/>
      <c r="I65" s="4"/>
    </row>
    <row r="66" spans="1:9" ht="15" x14ac:dyDescent="0.3">
      <c r="A66" s="4"/>
      <c r="B66" s="4"/>
      <c r="C66" s="4"/>
      <c r="D66" s="4"/>
      <c r="E66" s="4"/>
      <c r="F66" s="4"/>
      <c r="G66" s="4"/>
      <c r="H66" s="4"/>
      <c r="I66" s="4"/>
    </row>
    <row r="67" spans="1:9" ht="15" x14ac:dyDescent="0.3">
      <c r="A67" s="4"/>
      <c r="B67" s="4"/>
      <c r="C67" s="4"/>
      <c r="D67" s="4"/>
      <c r="E67" s="4"/>
      <c r="F67" s="4"/>
      <c r="G67" s="4"/>
      <c r="H67" s="4"/>
      <c r="I67" s="4"/>
    </row>
    <row r="68" spans="1:9" ht="15" x14ac:dyDescent="0.3">
      <c r="A68" s="4"/>
      <c r="B68" s="4"/>
      <c r="C68" s="4"/>
      <c r="D68" s="4"/>
      <c r="E68" s="4"/>
      <c r="F68" s="4"/>
      <c r="G68" s="4"/>
      <c r="H68" s="4"/>
      <c r="I68" s="4"/>
    </row>
    <row r="69" spans="1:9" ht="15" x14ac:dyDescent="0.3">
      <c r="A69" s="4"/>
      <c r="B69" s="4"/>
      <c r="C69" s="4"/>
      <c r="D69" s="4"/>
      <c r="E69" s="4"/>
      <c r="F69" s="4"/>
      <c r="G69" s="4"/>
      <c r="H69" s="4"/>
      <c r="I69" s="4"/>
    </row>
    <row r="70" spans="1:9" ht="15" x14ac:dyDescent="0.3">
      <c r="A70" s="4"/>
      <c r="B70" s="4"/>
      <c r="C70" s="4"/>
      <c r="D70" s="4"/>
      <c r="E70" s="4"/>
      <c r="F70" s="4"/>
      <c r="G70" s="4"/>
      <c r="H70" s="4"/>
      <c r="I70" s="4"/>
    </row>
    <row r="71" spans="1:9" ht="15" x14ac:dyDescent="0.3">
      <c r="A71" s="4"/>
      <c r="B71" s="4"/>
      <c r="C71" s="4"/>
      <c r="D71" s="4"/>
      <c r="E71" s="4"/>
      <c r="F71" s="4"/>
      <c r="G71" s="4"/>
      <c r="H71" s="4"/>
      <c r="I71" s="4"/>
    </row>
    <row r="72" spans="1:9" ht="15" x14ac:dyDescent="0.3">
      <c r="A72" s="4"/>
      <c r="B72" s="4"/>
      <c r="C72" s="4"/>
      <c r="D72" s="4"/>
      <c r="E72" s="4"/>
      <c r="F72" s="4"/>
      <c r="G72" s="4"/>
      <c r="H72" s="4"/>
      <c r="I72" s="4"/>
    </row>
    <row r="73" spans="1:9" ht="15" x14ac:dyDescent="0.3">
      <c r="A73" s="4"/>
      <c r="B73" s="4"/>
      <c r="C73" s="4"/>
      <c r="D73" s="4"/>
      <c r="E73" s="4"/>
      <c r="F73" s="4"/>
      <c r="G73" s="4"/>
      <c r="H73" s="4"/>
      <c r="I73" s="4"/>
    </row>
    <row r="74" spans="1:9" ht="15" x14ac:dyDescent="0.3">
      <c r="A74" s="4"/>
      <c r="B74" s="4"/>
      <c r="C74" s="4"/>
      <c r="D74" s="4"/>
      <c r="E74" s="4"/>
      <c r="F74" s="4"/>
      <c r="G74" s="4"/>
      <c r="H74" s="4"/>
      <c r="I74" s="4"/>
    </row>
    <row r="75" spans="1:9" ht="15" x14ac:dyDescent="0.3">
      <c r="A75" s="4"/>
      <c r="B75" s="4"/>
      <c r="C75" s="4"/>
      <c r="D75" s="4"/>
      <c r="E75" s="4"/>
      <c r="F75" s="4"/>
      <c r="G75" s="4"/>
      <c r="H75" s="4"/>
      <c r="I75" s="4"/>
    </row>
    <row r="76" spans="1:9" ht="15" x14ac:dyDescent="0.3">
      <c r="A76" s="4"/>
      <c r="B76" s="4"/>
      <c r="C76" s="4"/>
      <c r="D76" s="4"/>
      <c r="E76" s="4"/>
      <c r="F76" s="4"/>
      <c r="G76" s="4"/>
      <c r="H76" s="4"/>
      <c r="I76" s="4"/>
    </row>
    <row r="77" spans="1:9" ht="15" x14ac:dyDescent="0.3">
      <c r="A77" s="4"/>
      <c r="B77" s="4"/>
      <c r="C77" s="4"/>
      <c r="D77" s="4"/>
      <c r="E77" s="4"/>
      <c r="F77" s="4"/>
      <c r="G77" s="4"/>
      <c r="H77" s="4"/>
      <c r="I77" s="4"/>
    </row>
    <row r="78" spans="1:9" ht="15" x14ac:dyDescent="0.3">
      <c r="A78" s="4"/>
      <c r="B78" s="4"/>
      <c r="C78" s="4"/>
      <c r="D78" s="4"/>
      <c r="E78" s="4"/>
      <c r="F78" s="4"/>
      <c r="G78" s="4"/>
      <c r="H78" s="4"/>
      <c r="I78" s="4"/>
    </row>
    <row r="79" spans="1:9" ht="15" x14ac:dyDescent="0.3">
      <c r="A79" s="4"/>
      <c r="B79" s="4"/>
      <c r="C79" s="4"/>
      <c r="D79" s="4"/>
      <c r="E79" s="4"/>
      <c r="F79" s="4"/>
      <c r="G79" s="4"/>
      <c r="H79" s="4"/>
      <c r="I79" s="4"/>
    </row>
    <row r="80" spans="1:9" ht="15" x14ac:dyDescent="0.3">
      <c r="A80" s="4"/>
      <c r="B80" s="4"/>
      <c r="C80" s="4"/>
      <c r="D80" s="4"/>
      <c r="E80" s="4"/>
      <c r="F80" s="4"/>
      <c r="G80" s="4"/>
      <c r="H80" s="4"/>
      <c r="I80" s="4"/>
    </row>
    <row r="81" spans="1:9" ht="15" x14ac:dyDescent="0.3">
      <c r="A81" s="4"/>
      <c r="B81" s="4"/>
      <c r="C81" s="4"/>
      <c r="D81" s="4"/>
      <c r="E81" s="4"/>
      <c r="F81" s="4"/>
      <c r="G81" s="4"/>
      <c r="H81" s="4"/>
      <c r="I81" s="4"/>
    </row>
    <row r="82" spans="1:9" ht="15" x14ac:dyDescent="0.3">
      <c r="A82" s="4"/>
      <c r="B82" s="4"/>
      <c r="C82" s="4"/>
      <c r="D82" s="4"/>
      <c r="E82" s="4"/>
      <c r="F82" s="4"/>
      <c r="G82" s="4"/>
      <c r="H82" s="4"/>
      <c r="I82" s="4"/>
    </row>
    <row r="83" spans="1:9" ht="15" x14ac:dyDescent="0.3">
      <c r="A83" s="4"/>
      <c r="B83" s="4"/>
      <c r="C83" s="4"/>
      <c r="D83" s="4"/>
      <c r="E83" s="4"/>
      <c r="F83" s="4"/>
      <c r="G83" s="4"/>
      <c r="H83" s="4"/>
      <c r="I83" s="4"/>
    </row>
    <row r="84" spans="1:9" ht="15" x14ac:dyDescent="0.3">
      <c r="A84" s="4"/>
      <c r="B84" s="4"/>
      <c r="C84" s="4"/>
      <c r="D84" s="4"/>
      <c r="E84" s="4"/>
      <c r="F84" s="4"/>
      <c r="G84" s="4"/>
      <c r="H84" s="4"/>
      <c r="I84" s="4"/>
    </row>
    <row r="85" spans="1:9" ht="15" x14ac:dyDescent="0.3">
      <c r="A85" s="4"/>
      <c r="B85" s="4"/>
      <c r="C85" s="4"/>
      <c r="D85" s="4"/>
      <c r="E85" s="4"/>
      <c r="F85" s="4"/>
      <c r="G85" s="4"/>
      <c r="H85" s="4"/>
      <c r="I85" s="4"/>
    </row>
    <row r="86" spans="1:9" ht="15" x14ac:dyDescent="0.3">
      <c r="A86" s="4"/>
      <c r="B86" s="4"/>
      <c r="C86" s="4"/>
      <c r="D86" s="4"/>
      <c r="E86" s="4"/>
      <c r="F86" s="4"/>
      <c r="G86" s="4"/>
      <c r="H86" s="4"/>
      <c r="I86" s="4"/>
    </row>
    <row r="87" spans="1:9" ht="15" x14ac:dyDescent="0.3">
      <c r="A87" s="4"/>
      <c r="B87" s="4"/>
      <c r="C87" s="4"/>
      <c r="D87" s="4"/>
      <c r="E87" s="4"/>
      <c r="F87" s="4"/>
      <c r="G87" s="4"/>
      <c r="H87" s="4"/>
      <c r="I87" s="4"/>
    </row>
    <row r="88" spans="1:9" ht="15" x14ac:dyDescent="0.3">
      <c r="A88" s="4"/>
      <c r="B88" s="4"/>
      <c r="C88" s="4"/>
      <c r="D88" s="4"/>
      <c r="E88" s="4"/>
      <c r="F88" s="4"/>
      <c r="G88" s="4"/>
      <c r="H88" s="4"/>
      <c r="I88" s="4"/>
    </row>
    <row r="89" spans="1:9" ht="15" x14ac:dyDescent="0.3">
      <c r="A89" s="4"/>
      <c r="B89" s="4"/>
      <c r="C89" s="4"/>
      <c r="D89" s="4"/>
      <c r="E89" s="4"/>
      <c r="F89" s="4"/>
      <c r="G89" s="4"/>
      <c r="H89" s="4"/>
      <c r="I89" s="4"/>
    </row>
    <row r="90" spans="1:9" ht="15" x14ac:dyDescent="0.3">
      <c r="A90" s="4"/>
      <c r="B90" s="4"/>
      <c r="C90" s="4"/>
      <c r="D90" s="4"/>
      <c r="E90" s="4"/>
      <c r="F90" s="4"/>
      <c r="G90" s="4"/>
      <c r="H90" s="4"/>
      <c r="I90" s="4"/>
    </row>
    <row r="91" spans="1:9" ht="15" x14ac:dyDescent="0.3">
      <c r="A91" s="4"/>
      <c r="B91" s="4"/>
      <c r="C91" s="4"/>
      <c r="D91" s="4"/>
      <c r="E91" s="4"/>
      <c r="F91" s="4"/>
      <c r="G91" s="4"/>
      <c r="H91" s="4"/>
      <c r="I91" s="4"/>
    </row>
    <row r="92" spans="1:9" ht="15" x14ac:dyDescent="0.3">
      <c r="A92" s="4"/>
      <c r="B92" s="4"/>
      <c r="C92" s="4"/>
      <c r="D92" s="4"/>
      <c r="E92" s="4"/>
      <c r="F92" s="4"/>
      <c r="G92" s="4"/>
      <c r="H92" s="4"/>
      <c r="I92" s="4"/>
    </row>
    <row r="93" spans="1:9" ht="15" x14ac:dyDescent="0.3">
      <c r="A93" s="4"/>
      <c r="B93" s="4"/>
      <c r="C93" s="4"/>
      <c r="D93" s="4"/>
      <c r="E93" s="4"/>
      <c r="F93" s="4"/>
      <c r="G93" s="4"/>
      <c r="H93" s="4"/>
      <c r="I93" s="4"/>
    </row>
  </sheetData>
  <mergeCells count="35">
    <mergeCell ref="A27:A28"/>
    <mergeCell ref="B19:D19"/>
    <mergeCell ref="G19:I19"/>
    <mergeCell ref="C24:D24"/>
    <mergeCell ref="C23:D23"/>
    <mergeCell ref="A22:A26"/>
    <mergeCell ref="A20:A21"/>
    <mergeCell ref="B20:B21"/>
    <mergeCell ref="C20:D21"/>
    <mergeCell ref="E20:E21"/>
    <mergeCell ref="F20:F21"/>
    <mergeCell ref="H20:H21"/>
    <mergeCell ref="I20:I21"/>
    <mergeCell ref="C22:D22"/>
    <mergeCell ref="G20:G21"/>
    <mergeCell ref="A1:I2"/>
    <mergeCell ref="F8:G8"/>
    <mergeCell ref="A10:E10"/>
    <mergeCell ref="A11:E11"/>
    <mergeCell ref="A12:E12"/>
    <mergeCell ref="A13:E13"/>
    <mergeCell ref="A14:E14"/>
    <mergeCell ref="A15:E15"/>
    <mergeCell ref="A16:E16"/>
    <mergeCell ref="F18:I18"/>
    <mergeCell ref="B18:D18"/>
    <mergeCell ref="C31:F31"/>
    <mergeCell ref="C30:F30"/>
    <mergeCell ref="C29:F29"/>
    <mergeCell ref="C25:D25"/>
    <mergeCell ref="C27:D27"/>
    <mergeCell ref="E27:F27"/>
    <mergeCell ref="C28:D28"/>
    <mergeCell ref="E28:F28"/>
    <mergeCell ref="B26:G26"/>
  </mergeCells>
  <phoneticPr fontId="2" type="noConversion"/>
  <printOptions horizontalCentered="1"/>
  <pageMargins left="0.70866141732283472" right="0.70866141732283472" top="0.94488188976377963" bottom="0.74803149606299213" header="0.31496062992125984" footer="0.31496062992125984"/>
  <pageSetup paperSize="9" scale="85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INVOICE </vt:lpstr>
      <vt:lpstr>Packing list</vt:lpstr>
      <vt:lpstr>'INVOICE '!Print_Area</vt:lpstr>
      <vt:lpstr>'Packing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이진호</dc:creator>
  <cp:lastModifiedBy>허윤아</cp:lastModifiedBy>
  <cp:lastPrinted>2026-03-09T01:10:03Z</cp:lastPrinted>
  <dcterms:created xsi:type="dcterms:W3CDTF">2013-10-23T08:04:15Z</dcterms:created>
  <dcterms:modified xsi:type="dcterms:W3CDTF">2026-06-09T05:36:23Z</dcterms:modified>
</cp:coreProperties>
</file>