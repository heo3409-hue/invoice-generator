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\\210.223.182.24\센서영업팀\센서영업\00. 영업관리\만도_중국\수출\2026\5월\"/>
    </mc:Choice>
  </mc:AlternateContent>
  <xr:revisionPtr revIDLastSave="0" documentId="13_ncr:1_{F508A41A-AC8F-4145-BFDB-B8AC28E3F55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voice" sheetId="2" r:id="rId1"/>
    <sheet name="Packing List" sheetId="3" r:id="rId2"/>
  </sheets>
  <definedNames>
    <definedName name="_xlnm.Print_Area" localSheetId="0">Invoice!$A$1:$I$46</definedName>
    <definedName name="_xlnm.Print_Area" localSheetId="1">'Packing List'!$B$1:$J$36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3" l="1"/>
  <c r="G25" i="3"/>
  <c r="G26" i="3"/>
  <c r="I25" i="3" s="1"/>
  <c r="M26" i="3"/>
  <c r="I24" i="3"/>
  <c r="I27" i="3"/>
  <c r="I25" i="2"/>
  <c r="I23" i="2"/>
  <c r="I26" i="3" l="1"/>
  <c r="I23" i="3"/>
  <c r="I22" i="3"/>
  <c r="G4" i="3" l="1"/>
  <c r="G3" i="3"/>
</calcChain>
</file>

<file path=xl/sharedStrings.xml><?xml version="1.0" encoding="utf-8"?>
<sst xmlns="http://schemas.openxmlformats.org/spreadsheetml/2006/main" count="93" uniqueCount="82">
  <si>
    <t>SELLER/MANUFACTURER</t>
    <phoneticPr fontId="2" type="noConversion"/>
  </si>
  <si>
    <t>L/C NO.  &amp;  DATE</t>
    <phoneticPr fontId="2" type="noConversion"/>
  </si>
  <si>
    <t>P/O NO.  &amp;  DATE</t>
    <phoneticPr fontId="2" type="noConversion"/>
  </si>
  <si>
    <t>CONSIGNEE</t>
    <phoneticPr fontId="2" type="noConversion"/>
  </si>
  <si>
    <t>BUYER(NOTIFY PARTY)</t>
    <phoneticPr fontId="2" type="noConversion"/>
  </si>
  <si>
    <t>SAME AS CONSIGNEE</t>
    <phoneticPr fontId="2" type="noConversion"/>
  </si>
  <si>
    <t xml:space="preserve">FROM  </t>
    <phoneticPr fontId="2" type="noConversion"/>
  </si>
  <si>
    <t>TO</t>
    <phoneticPr fontId="2" type="noConversion"/>
  </si>
  <si>
    <t>SHIPPING 
MARKS</t>
    <phoneticPr fontId="2" type="noConversion"/>
  </si>
  <si>
    <t>NO</t>
    <phoneticPr fontId="2" type="noConversion"/>
  </si>
  <si>
    <t xml:space="preserve">DESCRIPTION OF GOODS AND/OR SERVICE </t>
    <phoneticPr fontId="2" type="noConversion"/>
  </si>
  <si>
    <t>Q'TY
(EA)</t>
    <phoneticPr fontId="2" type="noConversion"/>
  </si>
  <si>
    <t>SIGNED BY</t>
    <phoneticPr fontId="2" type="noConversion"/>
  </si>
  <si>
    <t>VESSEL / FLIGHT : FLIGHT</t>
    <phoneticPr fontId="2" type="noConversion"/>
  </si>
  <si>
    <t>Incheon, KOREA</t>
    <phoneticPr fontId="2" type="noConversion"/>
  </si>
  <si>
    <t>COUNTRY OF ORIGIN</t>
    <phoneticPr fontId="2" type="noConversion"/>
  </si>
  <si>
    <t>U/PRICE
(USD)</t>
    <phoneticPr fontId="2" type="noConversion"/>
  </si>
  <si>
    <t>AMOUNT
(USD)</t>
    <phoneticPr fontId="2" type="noConversion"/>
  </si>
  <si>
    <t>DAEYANG ELECTRIC CO LTD</t>
    <phoneticPr fontId="2" type="noConversion"/>
  </si>
  <si>
    <t xml:space="preserve"> - HS code : 9026.20</t>
    <phoneticPr fontId="2" type="noConversion"/>
  </si>
  <si>
    <t xml:space="preserve">16 Venture-ro 100beon-gil, Yeonsu-gu, </t>
    <phoneticPr fontId="2" type="noConversion"/>
  </si>
  <si>
    <t>TEL: +82 32 830 5520</t>
    <phoneticPr fontId="2" type="noConversion"/>
  </si>
  <si>
    <t>FAX: +82 32 830 5509</t>
    <phoneticPr fontId="2" type="noConversion"/>
  </si>
  <si>
    <t>KOREA</t>
    <phoneticPr fontId="2" type="noConversion"/>
  </si>
  <si>
    <t>Incheon, SOUTH KOREA. (22013)</t>
    <phoneticPr fontId="2" type="noConversion"/>
  </si>
  <si>
    <t>TERMS OF DELIVERY  &amp;  PAYMENT</t>
    <phoneticPr fontId="2" type="noConversion"/>
  </si>
  <si>
    <t>DDU</t>
    <phoneticPr fontId="2" type="noConversion"/>
  </si>
  <si>
    <t>COMMERCIAL INVOICE</t>
    <phoneticPr fontId="2" type="noConversion"/>
  </si>
  <si>
    <t>Pudong, China</t>
    <phoneticPr fontId="2" type="noConversion"/>
  </si>
  <si>
    <t>TEL:  +86-138-1264-4198</t>
    <phoneticPr fontId="2" type="noConversion"/>
  </si>
  <si>
    <t>PACKING LIST</t>
    <phoneticPr fontId="2" type="noConversion"/>
  </si>
  <si>
    <t>SELLER/MANUFACTURER</t>
    <phoneticPr fontId="2" type="noConversion"/>
  </si>
  <si>
    <t>DAEYANG ELECTRIC CO LTD</t>
    <phoneticPr fontId="2" type="noConversion"/>
  </si>
  <si>
    <t xml:space="preserve">16 Venture-ro 100beon-gil, Yeonsu-gu, </t>
    <phoneticPr fontId="2" type="noConversion"/>
  </si>
  <si>
    <t>L/C NO.  &amp;  DATE</t>
    <phoneticPr fontId="2" type="noConversion"/>
  </si>
  <si>
    <t>Incheon, SOUTH KOREA. (22013)</t>
    <phoneticPr fontId="2" type="noConversion"/>
  </si>
  <si>
    <t>TEL: +82 32 830 5520</t>
    <phoneticPr fontId="2" type="noConversion"/>
  </si>
  <si>
    <t>P/O NO.  &amp;  DATE</t>
    <phoneticPr fontId="2" type="noConversion"/>
  </si>
  <si>
    <t>FAX: +82 32 830 5509</t>
    <phoneticPr fontId="2" type="noConversion"/>
  </si>
  <si>
    <t>CONSIGNEE</t>
    <phoneticPr fontId="2" type="noConversion"/>
  </si>
  <si>
    <t>BUYER(NOTIFY PARTY)</t>
    <phoneticPr fontId="2" type="noConversion"/>
  </si>
  <si>
    <t xml:space="preserve">No.328 Mayun Road </t>
    <phoneticPr fontId="2" type="noConversion"/>
  </si>
  <si>
    <t>SAME AS CONSIGNEE</t>
    <phoneticPr fontId="2" type="noConversion"/>
  </si>
  <si>
    <t>COUNTRY OF ORIGIN</t>
    <phoneticPr fontId="2" type="noConversion"/>
  </si>
  <si>
    <t>KOREA</t>
    <phoneticPr fontId="2" type="noConversion"/>
  </si>
  <si>
    <t>VESSEL / FLIGHT : FLIGHT</t>
    <phoneticPr fontId="2" type="noConversion"/>
  </si>
  <si>
    <t xml:space="preserve">FROM  </t>
    <phoneticPr fontId="2" type="noConversion"/>
  </si>
  <si>
    <t>Incheon, KOREA</t>
    <phoneticPr fontId="2" type="noConversion"/>
  </si>
  <si>
    <t>TO</t>
    <phoneticPr fontId="2" type="noConversion"/>
  </si>
  <si>
    <t>Pudong, China</t>
    <phoneticPr fontId="2" type="noConversion"/>
  </si>
  <si>
    <t>SHIPPING 
MARKS</t>
    <phoneticPr fontId="2" type="noConversion"/>
  </si>
  <si>
    <t>NO</t>
    <phoneticPr fontId="2" type="noConversion"/>
  </si>
  <si>
    <t>Description of Goods</t>
    <phoneticPr fontId="2" type="noConversion"/>
  </si>
  <si>
    <t>Unit</t>
    <phoneticPr fontId="2" type="noConversion"/>
  </si>
  <si>
    <t>Quantity</t>
    <phoneticPr fontId="2" type="noConversion"/>
  </si>
  <si>
    <t>Net
Weight
(g/ea)</t>
    <phoneticPr fontId="2" type="noConversion"/>
  </si>
  <si>
    <t>Gross
Weight
(g)</t>
    <phoneticPr fontId="2" type="noConversion"/>
  </si>
  <si>
    <t>Remark</t>
    <phoneticPr fontId="2" type="noConversion"/>
  </si>
  <si>
    <t>ea</t>
    <phoneticPr fontId="2" type="noConversion"/>
  </si>
  <si>
    <t>PE Tray</t>
    <phoneticPr fontId="2" type="noConversion"/>
  </si>
  <si>
    <t>SIGNED BY</t>
    <phoneticPr fontId="2" type="noConversion"/>
  </si>
  <si>
    <t>HL Mando (Suzhou) Automotive System Co., Ltd.</t>
  </si>
  <si>
    <t xml:space="preserve">No.328 Mayun Road </t>
  </si>
  <si>
    <t>BG69003800</t>
    <phoneticPr fontId="2" type="noConversion"/>
  </si>
  <si>
    <t>Suzhou New District, Jiangsu P.R.China, 215000</t>
    <phoneticPr fontId="2" type="noConversion"/>
  </si>
  <si>
    <t xml:space="preserve">  (BG6900Z000)</t>
    <phoneticPr fontId="2" type="noConversion"/>
  </si>
  <si>
    <t>Pallet</t>
    <phoneticPr fontId="2" type="noConversion"/>
  </si>
  <si>
    <t>BG6900Z000</t>
    <phoneticPr fontId="2" type="noConversion"/>
  </si>
  <si>
    <t>ea</t>
    <phoneticPr fontId="2" type="noConversion"/>
  </si>
  <si>
    <t>AIR</t>
    <phoneticPr fontId="2" type="noConversion"/>
  </si>
  <si>
    <t>e-mail : xianglan.liu@hlcompany.com</t>
    <phoneticPr fontId="2" type="noConversion"/>
  </si>
  <si>
    <t>PIC: xianglan.liu</t>
    <phoneticPr fontId="2" type="noConversion"/>
  </si>
  <si>
    <t xml:space="preserve">  (BG69003800)</t>
    <phoneticPr fontId="2" type="noConversion"/>
  </si>
  <si>
    <t xml:space="preserve"> Pressure sensor </t>
    <phoneticPr fontId="2" type="noConversion"/>
  </si>
  <si>
    <t>Box</t>
    <phoneticPr fontId="2" type="noConversion"/>
  </si>
  <si>
    <t>ea</t>
    <phoneticPr fontId="2" type="noConversion"/>
  </si>
  <si>
    <t>INVOICE NO : TS-260119-01</t>
    <phoneticPr fontId="2" type="noConversion"/>
  </si>
  <si>
    <t>INVOICE DATE : 19th.Jan.2026</t>
    <phoneticPr fontId="2" type="noConversion"/>
  </si>
  <si>
    <t xml:space="preserve"> - Total gross weight : 72kg</t>
    <phoneticPr fontId="2" type="noConversion"/>
  </si>
  <si>
    <t xml:space="preserve"> - Box amount : 9EA</t>
    <phoneticPr fontId="2" type="noConversion"/>
  </si>
  <si>
    <t xml:space="preserve"> - Pallet amount : 1EA</t>
    <phoneticPr fontId="2" type="noConversion"/>
  </si>
  <si>
    <t>TOTAL AMOUNT : BOX (9EA), Pallet (1EA)   USD 49,921.52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</si>
</sst>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2" formatCode="_-&quot;₩&quot;* #,##0_-;\-&quot;₩&quot;* #,##0_-;_-&quot;₩&quot;* &quot;-&quot;_-;_-@_-"/>
    <numFmt numFmtId="41" formatCode="_-* #,##0_-;\-* #,##0_-;_-* &quot;-&quot;_-;_-@_-"/>
    <numFmt numFmtId="176" formatCode="0.00_ "/>
    <numFmt numFmtId="177" formatCode="_-* #,##0.00_-;\-* #,##0.00_-;_-* &quot;-&quot;_-;_-@_-"/>
    <numFmt numFmtId="178" formatCode="#,##0_ "/>
    <numFmt numFmtId="179" formatCode="#,##0.00_);[Red]\(#,##0.00\)"/>
    <numFmt numFmtId="180" formatCode="#,##0_);[Red]\(#,##0\)"/>
    <numFmt numFmtId="181" formatCode="0.000"/>
    <numFmt numFmtId="182" formatCode="#,##0.000_ "/>
    <numFmt numFmtId="183" formatCode="#,##0.0_);[Red]\(#,##0.0\)"/>
    <numFmt numFmtId="184" formatCode="#,##0.0_ ;[Red]\-#,##0.0\ "/>
    <numFmt numFmtId="185" formatCode="#,##0.00_ ;[Red]\-#,##0.00\ "/>
  </numFmts>
  <fonts count="14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0"/>
      <name val="Garamond"/>
      <family val="1"/>
    </font>
    <font>
      <sz val="11"/>
      <name val="Garamond"/>
      <family val="1"/>
    </font>
    <font>
      <b/>
      <sz val="20"/>
      <name val="굴림"/>
      <family val="3"/>
      <charset val="129"/>
    </font>
    <font>
      <b/>
      <sz val="10"/>
      <name val="굴림"/>
      <family val="3"/>
      <charset val="129"/>
    </font>
    <font>
      <sz val="10"/>
      <name val="굴림"/>
      <family val="3"/>
      <charset val="129"/>
    </font>
    <font>
      <sz val="11"/>
      <name val="굴림"/>
      <family val="3"/>
      <charset val="129"/>
    </font>
    <font>
      <b/>
      <sz val="11"/>
      <name val="굴림"/>
      <family val="3"/>
      <charset val="129"/>
    </font>
    <font>
      <b/>
      <sz val="12"/>
      <name val="굴림"/>
      <family val="3"/>
      <charset val="129"/>
    </font>
    <font>
      <b/>
      <sz val="10"/>
      <color theme="1"/>
      <name val="굴림"/>
      <family val="3"/>
      <charset val="129"/>
    </font>
    <font>
      <sz val="10"/>
      <color theme="1"/>
      <name val="굴림"/>
      <family val="3"/>
      <charset val="129"/>
    </font>
    <font>
      <b/>
      <sz val="10.5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3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/>
      <bottom style="double">
        <color indexed="64"/>
      </bottom>
      <diagonal/>
    </border>
    <border>
      <left/>
      <right style="thick">
        <color indexed="64"/>
      </right>
      <top style="double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73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8" xfId="0" applyFont="1" applyBorder="1" applyAlignment="1">
      <alignment horizontal="left" vertical="center"/>
    </xf>
    <xf numFmtId="0" fontId="7" fillId="0" borderId="8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41" fontId="7" fillId="0" borderId="12" xfId="1" applyFont="1" applyFill="1" applyBorder="1" applyAlignment="1">
      <alignment vertical="center"/>
    </xf>
    <xf numFmtId="0" fontId="7" fillId="0" borderId="18" xfId="1" applyNumberFormat="1" applyFont="1" applyFill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177" fontId="7" fillId="0" borderId="18" xfId="1" applyNumberFormat="1" applyFont="1" applyFill="1" applyBorder="1" applyAlignment="1">
      <alignment vertical="center"/>
    </xf>
    <xf numFmtId="41" fontId="7" fillId="0" borderId="18" xfId="1" applyFont="1" applyFill="1" applyBorder="1" applyAlignment="1">
      <alignment horizontal="center" vertical="center"/>
    </xf>
    <xf numFmtId="0" fontId="6" fillId="0" borderId="18" xfId="1" applyNumberFormat="1" applyFont="1" applyFill="1" applyBorder="1" applyAlignment="1">
      <alignment vertical="center" shrinkToFit="1"/>
    </xf>
    <xf numFmtId="0" fontId="7" fillId="0" borderId="18" xfId="0" applyFont="1" applyBorder="1" applyAlignment="1">
      <alignment vertical="center"/>
    </xf>
    <xf numFmtId="0" fontId="9" fillId="0" borderId="21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7" fillId="2" borderId="18" xfId="0" applyFont="1" applyFill="1" applyBorder="1" applyAlignment="1">
      <alignment horizontal="center" vertical="center"/>
    </xf>
    <xf numFmtId="178" fontId="7" fillId="2" borderId="18" xfId="0" applyNumberFormat="1" applyFont="1" applyFill="1" applyBorder="1" applyAlignment="1">
      <alignment horizontal="center" vertical="center"/>
    </xf>
    <xf numFmtId="42" fontId="7" fillId="0" borderId="18" xfId="2" quotePrefix="1" applyFont="1" applyFill="1" applyBorder="1" applyAlignment="1">
      <alignment horizontal="right" vertical="center"/>
    </xf>
    <xf numFmtId="0" fontId="11" fillId="0" borderId="7" xfId="0" applyFont="1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2" xfId="0" applyBorder="1" applyAlignment="1">
      <alignment vertical="center"/>
    </xf>
    <xf numFmtId="181" fontId="0" fillId="0" borderId="0" xfId="0" applyNumberFormat="1" applyAlignment="1">
      <alignment vertical="center"/>
    </xf>
    <xf numFmtId="182" fontId="0" fillId="0" borderId="0" xfId="0" applyNumberFormat="1" applyAlignment="1">
      <alignment vertical="center"/>
    </xf>
    <xf numFmtId="17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7" fillId="0" borderId="27" xfId="0" applyFont="1" applyBorder="1" applyAlignment="1">
      <alignment horizontal="center" vertical="center"/>
    </xf>
    <xf numFmtId="180" fontId="7" fillId="0" borderId="27" xfId="0" applyNumberFormat="1" applyFont="1" applyBorder="1" applyAlignment="1">
      <alignment horizontal="right" vertical="center"/>
    </xf>
    <xf numFmtId="180" fontId="7" fillId="0" borderId="27" xfId="1" applyNumberFormat="1" applyFont="1" applyFill="1" applyBorder="1" applyAlignment="1">
      <alignment horizontal="right" vertical="center"/>
    </xf>
    <xf numFmtId="180" fontId="7" fillId="0" borderId="27" xfId="1" applyNumberFormat="1" applyFont="1" applyBorder="1" applyAlignment="1">
      <alignment horizontal="right" vertical="center" wrapText="1" shrinkToFit="1"/>
    </xf>
    <xf numFmtId="0" fontId="0" fillId="0" borderId="27" xfId="0" applyBorder="1" applyAlignment="1">
      <alignment vertical="center"/>
    </xf>
    <xf numFmtId="0" fontId="6" fillId="0" borderId="34" xfId="0" applyFont="1" applyBorder="1" applyAlignment="1">
      <alignment vertical="center"/>
    </xf>
    <xf numFmtId="0" fontId="7" fillId="0" borderId="35" xfId="0" applyFont="1" applyBorder="1" applyAlignment="1">
      <alignment vertical="center"/>
    </xf>
    <xf numFmtId="0" fontId="7" fillId="0" borderId="36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7" fillId="0" borderId="37" xfId="0" applyFont="1" applyBorder="1" applyAlignment="1">
      <alignment vertical="center"/>
    </xf>
    <xf numFmtId="0" fontId="7" fillId="0" borderId="36" xfId="0" applyFont="1" applyBorder="1" applyAlignment="1">
      <alignment vertical="center"/>
    </xf>
    <xf numFmtId="0" fontId="7" fillId="0" borderId="33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13" fillId="0" borderId="36" xfId="0" applyFont="1" applyBorder="1"/>
    <xf numFmtId="0" fontId="6" fillId="0" borderId="0" xfId="0" applyFont="1" applyAlignment="1">
      <alignment vertical="center"/>
    </xf>
    <xf numFmtId="0" fontId="6" fillId="0" borderId="39" xfId="0" applyFont="1" applyBorder="1" applyAlignment="1">
      <alignment vertical="center"/>
    </xf>
    <xf numFmtId="0" fontId="6" fillId="0" borderId="44" xfId="0" applyFont="1" applyBorder="1" applyAlignment="1">
      <alignment horizontal="left" vertical="center"/>
    </xf>
    <xf numFmtId="41" fontId="7" fillId="0" borderId="41" xfId="1" applyFont="1" applyFill="1" applyBorder="1" applyAlignment="1">
      <alignment vertical="center"/>
    </xf>
    <xf numFmtId="0" fontId="6" fillId="0" borderId="36" xfId="0" applyFont="1" applyBorder="1" applyAlignment="1">
      <alignment horizontal="center" vertical="center"/>
    </xf>
    <xf numFmtId="177" fontId="7" fillId="0" borderId="45" xfId="1" applyNumberFormat="1" applyFont="1" applyFill="1" applyBorder="1" applyAlignment="1">
      <alignment horizontal="center" vertical="center"/>
    </xf>
    <xf numFmtId="177" fontId="7" fillId="0" borderId="45" xfId="1" quotePrefix="1" applyNumberFormat="1" applyFont="1" applyFill="1" applyBorder="1" applyAlignment="1">
      <alignment horizontal="right" vertical="center"/>
    </xf>
    <xf numFmtId="176" fontId="7" fillId="0" borderId="45" xfId="0" applyNumberFormat="1" applyFont="1" applyBorder="1" applyAlignment="1">
      <alignment vertical="center"/>
    </xf>
    <xf numFmtId="0" fontId="7" fillId="0" borderId="44" xfId="0" applyFont="1" applyBorder="1" applyAlignment="1">
      <alignment horizontal="center" vertical="center"/>
    </xf>
    <xf numFmtId="0" fontId="7" fillId="0" borderId="45" xfId="0" applyFont="1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6" fillId="0" borderId="36" xfId="0" applyFont="1" applyBorder="1" applyAlignment="1">
      <alignment vertical="center"/>
    </xf>
    <xf numFmtId="0" fontId="8" fillId="0" borderId="0" xfId="0" applyFont="1" applyAlignment="1">
      <alignment vertical="center" shrinkToFit="1"/>
    </xf>
    <xf numFmtId="0" fontId="9" fillId="0" borderId="0" xfId="0" applyFont="1" applyAlignment="1">
      <alignment vertical="center"/>
    </xf>
    <xf numFmtId="0" fontId="9" fillId="0" borderId="37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6" fillId="0" borderId="46" xfId="0" applyFont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8" fillId="0" borderId="21" xfId="0" applyFont="1" applyBorder="1" applyAlignment="1">
      <alignment vertical="center"/>
    </xf>
    <xf numFmtId="0" fontId="9" fillId="0" borderId="47" xfId="0" applyFont="1" applyBorder="1" applyAlignment="1">
      <alignment vertical="center"/>
    </xf>
    <xf numFmtId="0" fontId="7" fillId="0" borderId="38" xfId="0" applyFont="1" applyBorder="1" applyAlignment="1">
      <alignment vertical="center"/>
    </xf>
    <xf numFmtId="177" fontId="7" fillId="0" borderId="50" xfId="1" applyNumberFormat="1" applyFont="1" applyFill="1" applyBorder="1" applyAlignment="1">
      <alignment horizontal="center" vertical="center"/>
    </xf>
    <xf numFmtId="0" fontId="7" fillId="0" borderId="18" xfId="5" applyNumberFormat="1" applyFont="1" applyFill="1" applyBorder="1" applyAlignment="1">
      <alignment horizontal="center" vertical="center"/>
    </xf>
    <xf numFmtId="40" fontId="7" fillId="0" borderId="18" xfId="6" applyNumberFormat="1" applyFont="1" applyFill="1" applyBorder="1" applyAlignment="1">
      <alignment vertical="center"/>
    </xf>
    <xf numFmtId="40" fontId="7" fillId="0" borderId="45" xfId="5" applyNumberFormat="1" applyFont="1" applyFill="1" applyBorder="1" applyAlignment="1">
      <alignment horizontal="center" vertical="center"/>
    </xf>
    <xf numFmtId="177" fontId="7" fillId="0" borderId="18" xfId="5" applyNumberFormat="1" applyFont="1" applyFill="1" applyBorder="1" applyAlignment="1">
      <alignment vertical="center"/>
    </xf>
    <xf numFmtId="177" fontId="7" fillId="0" borderId="45" xfId="5" applyNumberFormat="1" applyFont="1" applyFill="1" applyBorder="1" applyAlignment="1">
      <alignment horizontal="center" vertical="center"/>
    </xf>
    <xf numFmtId="183" fontId="7" fillId="0" borderId="27" xfId="0" applyNumberFormat="1" applyFont="1" applyBorder="1" applyAlignment="1">
      <alignment horizontal="right" vertical="center"/>
    </xf>
    <xf numFmtId="183" fontId="7" fillId="2" borderId="27" xfId="0" applyNumberFormat="1" applyFont="1" applyFill="1" applyBorder="1" applyAlignment="1">
      <alignment horizontal="right" vertical="center"/>
    </xf>
    <xf numFmtId="180" fontId="7" fillId="0" borderId="28" xfId="1" applyNumberFormat="1" applyFont="1" applyFill="1" applyBorder="1" applyAlignment="1">
      <alignment vertical="center"/>
    </xf>
    <xf numFmtId="184" fontId="0" fillId="0" borderId="0" xfId="0" applyNumberFormat="1" applyAlignment="1">
      <alignment vertical="center"/>
    </xf>
    <xf numFmtId="176" fontId="7" fillId="0" borderId="0" xfId="0" applyNumberFormat="1" applyFont="1" applyAlignment="1">
      <alignment vertical="center"/>
    </xf>
    <xf numFmtId="40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41" fontId="12" fillId="0" borderId="19" xfId="1" applyFont="1" applyBorder="1" applyAlignment="1">
      <alignment horizontal="left" vertical="center" shrinkToFit="1"/>
    </xf>
    <xf numFmtId="41" fontId="12" fillId="0" borderId="0" xfId="1" applyFont="1" applyBorder="1" applyAlignment="1">
      <alignment horizontal="left" vertical="center" shrinkToFit="1"/>
    </xf>
    <xf numFmtId="41" fontId="12" fillId="0" borderId="20" xfId="1" applyFont="1" applyBorder="1" applyAlignment="1">
      <alignment horizontal="left" vertical="center" shrinkToFit="1"/>
    </xf>
    <xf numFmtId="41" fontId="8" fillId="0" borderId="19" xfId="1" applyFont="1" applyBorder="1" applyAlignment="1">
      <alignment horizontal="left" vertical="center" shrinkToFit="1"/>
    </xf>
    <xf numFmtId="0" fontId="8" fillId="0" borderId="0" xfId="0" applyFont="1" applyAlignment="1">
      <alignment horizontal="left" vertical="center" shrinkToFit="1"/>
    </xf>
    <xf numFmtId="0" fontId="8" fillId="0" borderId="20" xfId="0" applyFont="1" applyBorder="1" applyAlignment="1">
      <alignment horizontal="left" vertical="center" shrinkToFit="1"/>
    </xf>
    <xf numFmtId="0" fontId="10" fillId="0" borderId="39" xfId="0" applyFont="1" applyBorder="1" applyAlignment="1">
      <alignment horizontal="center" vertical="center" shrinkToFit="1"/>
    </xf>
    <xf numFmtId="0" fontId="10" fillId="0" borderId="9" xfId="0" applyFont="1" applyBorder="1" applyAlignment="1">
      <alignment vertical="center" shrinkToFit="1"/>
    </xf>
    <xf numFmtId="0" fontId="10" fillId="0" borderId="38" xfId="0" applyFont="1" applyBorder="1" applyAlignment="1">
      <alignment vertical="center" shrinkToFit="1"/>
    </xf>
    <xf numFmtId="41" fontId="7" fillId="0" borderId="19" xfId="5" applyFont="1" applyBorder="1" applyAlignment="1">
      <alignment horizontal="left" vertical="center" wrapText="1" shrinkToFit="1"/>
    </xf>
    <xf numFmtId="41" fontId="7" fillId="0" borderId="0" xfId="5" applyFont="1" applyBorder="1" applyAlignment="1">
      <alignment horizontal="left" vertical="center" shrinkToFit="1"/>
    </xf>
    <xf numFmtId="41" fontId="7" fillId="0" borderId="20" xfId="5" applyFont="1" applyBorder="1" applyAlignment="1">
      <alignment horizontal="left" vertical="center" shrinkToFit="1"/>
    </xf>
    <xf numFmtId="0" fontId="7" fillId="0" borderId="19" xfId="5" applyNumberFormat="1" applyFont="1" applyBorder="1" applyAlignment="1">
      <alignment horizontal="left" vertical="center" shrinkToFit="1"/>
    </xf>
    <xf numFmtId="0" fontId="7" fillId="0" borderId="0" xfId="5" applyNumberFormat="1" applyFont="1" applyBorder="1" applyAlignment="1">
      <alignment horizontal="left" vertical="center" shrinkToFit="1"/>
    </xf>
    <xf numFmtId="0" fontId="7" fillId="0" borderId="20" xfId="5" applyNumberFormat="1" applyFont="1" applyBorder="1" applyAlignment="1">
      <alignment horizontal="left" vertical="center" shrinkToFit="1"/>
    </xf>
    <xf numFmtId="41" fontId="7" fillId="0" borderId="19" xfId="1" applyFont="1" applyBorder="1" applyAlignment="1">
      <alignment horizontal="left" vertical="center" shrinkToFit="1"/>
    </xf>
    <xf numFmtId="41" fontId="7" fillId="0" borderId="0" xfId="1" applyFont="1" applyBorder="1" applyAlignment="1">
      <alignment horizontal="left" vertical="center" shrinkToFit="1"/>
    </xf>
    <xf numFmtId="41" fontId="7" fillId="0" borderId="20" xfId="1" applyFont="1" applyBorder="1" applyAlignment="1">
      <alignment horizontal="left" vertical="center" shrinkToFit="1"/>
    </xf>
    <xf numFmtId="0" fontId="6" fillId="0" borderId="41" xfId="0" applyFont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/>
    </xf>
    <xf numFmtId="0" fontId="7" fillId="2" borderId="36" xfId="0" applyFont="1" applyFill="1" applyBorder="1" applyAlignment="1">
      <alignment horizontal="left" vertical="center" shrinkToFit="1"/>
    </xf>
    <xf numFmtId="0" fontId="7" fillId="2" borderId="0" xfId="0" applyFont="1" applyFill="1" applyAlignment="1">
      <alignment horizontal="left" vertical="center" shrinkToFit="1"/>
    </xf>
    <xf numFmtId="0" fontId="7" fillId="2" borderId="8" xfId="0" applyFont="1" applyFill="1" applyBorder="1" applyAlignment="1">
      <alignment horizontal="left" vertical="center" shrinkToFit="1"/>
    </xf>
    <xf numFmtId="0" fontId="6" fillId="0" borderId="10" xfId="0" applyFont="1" applyBorder="1" applyAlignment="1">
      <alignment horizontal="left" vertical="center" shrinkToFit="1"/>
    </xf>
    <xf numFmtId="0" fontId="6" fillId="0" borderId="9" xfId="0" applyFont="1" applyBorder="1" applyAlignment="1">
      <alignment horizontal="left" vertical="center" shrinkToFit="1"/>
    </xf>
    <xf numFmtId="0" fontId="8" fillId="0" borderId="9" xfId="0" applyFont="1" applyBorder="1" applyAlignment="1">
      <alignment horizontal="left" vertical="center" shrinkToFit="1"/>
    </xf>
    <xf numFmtId="0" fontId="8" fillId="0" borderId="38" xfId="0" applyFont="1" applyBorder="1" applyAlignment="1">
      <alignment horizontal="left" vertical="center" shrinkToFit="1"/>
    </xf>
    <xf numFmtId="0" fontId="7" fillId="0" borderId="9" xfId="0" applyFont="1" applyBorder="1" applyAlignment="1">
      <alignment horizontal="left" vertical="center"/>
    </xf>
    <xf numFmtId="0" fontId="7" fillId="0" borderId="9" xfId="0" applyFont="1" applyBorder="1" applyAlignment="1">
      <alignment vertical="center" shrinkToFit="1"/>
    </xf>
    <xf numFmtId="0" fontId="6" fillId="0" borderId="40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 shrinkToFit="1"/>
    </xf>
    <xf numFmtId="0" fontId="8" fillId="0" borderId="15" xfId="0" applyFont="1" applyBorder="1" applyAlignment="1">
      <alignment horizontal="center" vertical="center" shrinkToFit="1"/>
    </xf>
    <xf numFmtId="0" fontId="9" fillId="0" borderId="13" xfId="0" applyFont="1" applyBorder="1" applyAlignment="1">
      <alignment horizontal="center" vertical="center" shrinkToFit="1"/>
    </xf>
    <xf numFmtId="0" fontId="9" fillId="0" borderId="2" xfId="0" applyFont="1" applyBorder="1" applyAlignment="1">
      <alignment horizontal="center" vertical="center" shrinkToFit="1"/>
    </xf>
    <xf numFmtId="0" fontId="9" fillId="0" borderId="14" xfId="0" applyFont="1" applyBorder="1" applyAlignment="1">
      <alignment horizontal="center" vertical="center" shrinkToFit="1"/>
    </xf>
    <xf numFmtId="0" fontId="9" fillId="0" borderId="16" xfId="0" applyFont="1" applyBorder="1" applyAlignment="1">
      <alignment horizontal="center" vertical="center" shrinkToFit="1"/>
    </xf>
    <xf numFmtId="0" fontId="9" fillId="0" borderId="5" xfId="0" applyFont="1" applyBorder="1" applyAlignment="1">
      <alignment horizontal="center" vertical="center" shrinkToFit="1"/>
    </xf>
    <xf numFmtId="0" fontId="9" fillId="0" borderId="17" xfId="0" applyFont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/>
    </xf>
    <xf numFmtId="0" fontId="7" fillId="2" borderId="36" xfId="0" applyFont="1" applyFill="1" applyBorder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8" xfId="0" applyFont="1" applyFill="1" applyBorder="1" applyAlignment="1">
      <alignment horizontal="left" vertical="center"/>
    </xf>
    <xf numFmtId="0" fontId="7" fillId="2" borderId="32" xfId="0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/>
    </xf>
    <xf numFmtId="0" fontId="5" fillId="0" borderId="29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 shrinkToFit="1"/>
    </xf>
    <xf numFmtId="0" fontId="8" fillId="0" borderId="5" xfId="0" applyFont="1" applyBorder="1" applyAlignment="1">
      <alignment vertical="center" shrinkToFit="1"/>
    </xf>
    <xf numFmtId="0" fontId="7" fillId="0" borderId="36" xfId="0" applyFont="1" applyBorder="1" applyAlignment="1">
      <alignment horizontal="left" vertical="center" wrapText="1" shrinkToFit="1"/>
    </xf>
    <xf numFmtId="0" fontId="7" fillId="0" borderId="0" xfId="0" applyFont="1" applyAlignment="1">
      <alignment horizontal="left" vertical="center" shrinkToFit="1"/>
    </xf>
    <xf numFmtId="0" fontId="7" fillId="0" borderId="8" xfId="0" applyFont="1" applyBorder="1" applyAlignment="1">
      <alignment horizontal="left" vertical="center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41" fontId="7" fillId="0" borderId="27" xfId="1" applyFont="1" applyBorder="1" applyAlignment="1">
      <alignment horizontal="center" vertical="center" wrapText="1" shrinkToFit="1"/>
    </xf>
    <xf numFmtId="0" fontId="9" fillId="0" borderId="27" xfId="0" applyFont="1" applyBorder="1" applyAlignment="1">
      <alignment horizontal="center" vertical="center" shrinkToFit="1"/>
    </xf>
    <xf numFmtId="0" fontId="6" fillId="0" borderId="50" xfId="0" applyFont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36" xfId="0" applyFont="1" applyBorder="1" applyAlignment="1">
      <alignment horizontal="left" vertical="center" shrinkToFit="1"/>
    </xf>
    <xf numFmtId="0" fontId="8" fillId="0" borderId="26" xfId="0" applyFont="1" applyBorder="1" applyAlignment="1">
      <alignment horizontal="left" vertical="center" shrinkToFit="1"/>
    </xf>
    <xf numFmtId="0" fontId="7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vertical="center" shrinkToFit="1"/>
    </xf>
    <xf numFmtId="0" fontId="7" fillId="0" borderId="24" xfId="0" applyFont="1" applyBorder="1" applyAlignment="1">
      <alignment vertical="center" shrinkToFit="1"/>
    </xf>
    <xf numFmtId="0" fontId="7" fillId="0" borderId="35" xfId="0" applyFont="1" applyBorder="1" applyAlignment="1">
      <alignment vertical="center" shrinkToFit="1"/>
    </xf>
    <xf numFmtId="0" fontId="6" fillId="0" borderId="49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 shrinkToFit="1"/>
    </xf>
    <xf numFmtId="0" fontId="8" fillId="0" borderId="27" xfId="0" applyFont="1" applyBorder="1" applyAlignment="1">
      <alignment horizontal="center" vertical="center" shrinkToFit="1"/>
    </xf>
    <xf numFmtId="0" fontId="7" fillId="0" borderId="28" xfId="1" applyNumberFormat="1" applyFont="1" applyFill="1" applyBorder="1" applyAlignment="1">
      <alignment horizontal="center" vertical="center"/>
    </xf>
    <xf numFmtId="0" fontId="7" fillId="0" borderId="51" xfId="1" applyNumberFormat="1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7" fillId="0" borderId="36" xfId="0" applyFont="1" applyBorder="1" applyAlignment="1">
      <alignment vertical="center" wrapText="1" shrinkToFit="1"/>
    </xf>
    <xf numFmtId="0" fontId="7" fillId="0" borderId="0" xfId="0" applyFont="1" applyAlignment="1">
      <alignment vertical="center" shrinkToFit="1"/>
    </xf>
    <xf numFmtId="0" fontId="7" fillId="0" borderId="8" xfId="0" applyFont="1" applyBorder="1" applyAlignment="1">
      <alignment vertical="center" shrinkToFit="1"/>
    </xf>
  </cellXfs>
  <cellStyles count="7">
    <cellStyle name="쉼표 [0]" xfId="1" builtinId="6"/>
    <cellStyle name="쉼표 [0] 2" xfId="3" xr:uid="{00000000-0005-0000-0000-000001000000}"/>
    <cellStyle name="쉼표 [0] 2 2" xfId="6" xr:uid="{52B638EE-2128-440C-877B-E8EB9E66613C}"/>
    <cellStyle name="쉼표 [0] 3" xfId="5" xr:uid="{4C0955CE-71F6-48B0-AA12-7A44A2359086}"/>
    <cellStyle name="통화 [0]" xfId="2" builtinId="7"/>
    <cellStyle name="통화 [0] 2" xfId="4" xr:uid="{00000000-0005-0000-0000-000003000000}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165236</xdr:colOff>
      <xdr:row>40</xdr:row>
      <xdr:rowOff>26504</xdr:rowOff>
    </xdr:from>
    <xdr:to>
      <xdr:col>8</xdr:col>
      <xdr:colOff>40444</xdr:colOff>
      <xdr:row>44</xdr:row>
      <xdr:rowOff>55079</xdr:rowOff>
    </xdr:to>
    <xdr:pic>
      <xdr:nvPicPr>
        <xdr:cNvPr id="2" name="그림 1" descr="대양전기 영문사인.JPG">
          <a:extLst>
            <a:ext uri="{FF2B5EF4-FFF2-40B4-BE49-F238E27FC236}">
              <a16:creationId xmlns:a16="http://schemas.microsoft.com/office/drawing/2014/main" id="{684E7749-A76E-4AB2-A2BF-9DD9BDFC3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055121" y="7576019"/>
          <a:ext cx="1967533" cy="79438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92765</xdr:colOff>
      <xdr:row>30</xdr:row>
      <xdr:rowOff>64051</xdr:rowOff>
    </xdr:from>
    <xdr:to>
      <xdr:col>8</xdr:col>
      <xdr:colOff>705216</xdr:colOff>
      <xdr:row>34</xdr:row>
      <xdr:rowOff>94645</xdr:rowOff>
    </xdr:to>
    <xdr:pic>
      <xdr:nvPicPr>
        <xdr:cNvPr id="2" name="그림 1" descr="대양전기 영문사인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293165" y="7861851"/>
          <a:ext cx="1987226" cy="79066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"/>
  <sheetViews>
    <sheetView tabSelected="1" topLeftCell="A19" zoomScale="115" zoomScaleNormal="115" zoomScaleSheetLayoutView="100" workbookViewId="0">
      <selection activeCell="C33" sqref="C33:F33"/>
    </sheetView>
  </sheetViews>
  <sheetFormatPr defaultRowHeight="14.4" x14ac:dyDescent="0.25"/>
  <cols>
    <col min="1" max="1" width="9.3984375" customWidth="1"/>
    <col min="2" max="2" width="4.69921875" customWidth="1"/>
    <col min="4" max="4" width="8.69921875" customWidth="1"/>
    <col min="5" max="5" width="11.3984375" customWidth="1"/>
    <col min="6" max="6" width="10.3984375" customWidth="1"/>
    <col min="7" max="7" width="8.69921875" customWidth="1"/>
    <col min="8" max="8" width="8.3984375" customWidth="1"/>
    <col min="9" max="9" width="9.69921875" customWidth="1"/>
    <col min="10" max="10" width="10.8984375" bestFit="1" customWidth="1"/>
    <col min="11" max="11" width="10.3984375" bestFit="1" customWidth="1"/>
    <col min="12" max="12" width="11.296875" bestFit="1" customWidth="1"/>
    <col min="13" max="13" width="17.19921875" customWidth="1"/>
    <col min="16" max="16" width="12.3984375" customWidth="1"/>
  </cols>
  <sheetData>
    <row r="1" spans="1:9" s="1" customFormat="1" ht="15" customHeight="1" x14ac:dyDescent="0.25">
      <c r="A1" s="136" t="s">
        <v>27</v>
      </c>
      <c r="B1" s="137"/>
      <c r="C1" s="137"/>
      <c r="D1" s="137"/>
      <c r="E1" s="137"/>
      <c r="F1" s="137"/>
      <c r="G1" s="137"/>
      <c r="H1" s="137"/>
      <c r="I1" s="138"/>
    </row>
    <row r="2" spans="1:9" s="1" customFormat="1" ht="15" customHeight="1" thickBot="1" x14ac:dyDescent="0.3">
      <c r="A2" s="139"/>
      <c r="B2" s="140"/>
      <c r="C2" s="140"/>
      <c r="D2" s="140"/>
      <c r="E2" s="140"/>
      <c r="F2" s="140"/>
      <c r="G2" s="140"/>
      <c r="H2" s="140"/>
      <c r="I2" s="141"/>
    </row>
    <row r="3" spans="1:9" s="1" customFormat="1" ht="17.100000000000001" customHeight="1" thickTop="1" x14ac:dyDescent="0.25">
      <c r="A3" s="43" t="s">
        <v>0</v>
      </c>
      <c r="B3" s="6"/>
      <c r="C3" s="6"/>
      <c r="D3" s="6"/>
      <c r="E3" s="6"/>
      <c r="F3" s="5" t="s">
        <v>76</v>
      </c>
      <c r="G3" s="6"/>
      <c r="H3" s="6"/>
      <c r="I3" s="44"/>
    </row>
    <row r="4" spans="1:9" s="1" customFormat="1" ht="17.100000000000001" customHeight="1" thickBot="1" x14ac:dyDescent="0.3">
      <c r="A4" s="45" t="s">
        <v>18</v>
      </c>
      <c r="B4" s="46"/>
      <c r="C4" s="46"/>
      <c r="D4" s="46"/>
      <c r="E4" s="8"/>
      <c r="F4" s="31" t="s">
        <v>77</v>
      </c>
      <c r="G4" s="47"/>
      <c r="H4" s="47"/>
      <c r="I4" s="48"/>
    </row>
    <row r="5" spans="1:9" s="1" customFormat="1" ht="17.100000000000001" customHeight="1" thickTop="1" x14ac:dyDescent="0.25">
      <c r="A5" s="49" t="s">
        <v>20</v>
      </c>
      <c r="B5" s="47"/>
      <c r="C5" s="47"/>
      <c r="D5" s="47"/>
      <c r="E5" s="47"/>
      <c r="F5" s="5" t="s">
        <v>1</v>
      </c>
      <c r="G5" s="6"/>
      <c r="H5" s="6"/>
      <c r="I5" s="44"/>
    </row>
    <row r="6" spans="1:9" s="1" customFormat="1" ht="17.100000000000001" customHeight="1" thickBot="1" x14ac:dyDescent="0.3">
      <c r="A6" s="49" t="s">
        <v>24</v>
      </c>
      <c r="B6" s="47"/>
      <c r="C6" s="47"/>
      <c r="D6" s="47"/>
      <c r="E6" s="47"/>
      <c r="F6" s="10"/>
      <c r="G6" s="11"/>
      <c r="H6" s="11"/>
      <c r="I6" s="50"/>
    </row>
    <row r="7" spans="1:9" s="1" customFormat="1" ht="17.100000000000001" customHeight="1" thickTop="1" x14ac:dyDescent="0.25">
      <c r="A7" s="49" t="s">
        <v>21</v>
      </c>
      <c r="B7" s="47"/>
      <c r="C7" s="47"/>
      <c r="D7" s="47"/>
      <c r="E7" s="47"/>
      <c r="F7" s="13" t="s">
        <v>2</v>
      </c>
      <c r="G7" s="47"/>
      <c r="H7" s="47"/>
      <c r="I7" s="48"/>
    </row>
    <row r="8" spans="1:9" s="1" customFormat="1" ht="17.100000000000001" customHeight="1" thickBot="1" x14ac:dyDescent="0.3">
      <c r="A8" s="51" t="s">
        <v>22</v>
      </c>
      <c r="B8" s="11"/>
      <c r="C8" s="11"/>
      <c r="D8" s="11"/>
      <c r="E8" s="12"/>
      <c r="F8" s="142"/>
      <c r="G8" s="143"/>
      <c r="H8" s="11"/>
      <c r="I8" s="50"/>
    </row>
    <row r="9" spans="1:9" s="1" customFormat="1" ht="16.5" customHeight="1" thickTop="1" x14ac:dyDescent="0.25">
      <c r="A9" s="43" t="s">
        <v>3</v>
      </c>
      <c r="B9" s="6"/>
      <c r="C9" s="6"/>
      <c r="D9" s="6"/>
      <c r="E9" s="7"/>
      <c r="F9" s="14" t="s">
        <v>4</v>
      </c>
      <c r="G9" s="47"/>
      <c r="H9" s="47"/>
      <c r="I9" s="48"/>
    </row>
    <row r="10" spans="1:9" s="1" customFormat="1" ht="16.5" customHeight="1" x14ac:dyDescent="0.4">
      <c r="A10" s="52" t="s">
        <v>61</v>
      </c>
      <c r="B10" s="47"/>
      <c r="C10" s="47"/>
      <c r="D10" s="47"/>
      <c r="E10" s="9"/>
      <c r="F10" s="53"/>
      <c r="G10" s="47"/>
      <c r="H10" s="47"/>
      <c r="I10" s="48"/>
    </row>
    <row r="11" spans="1:9" s="1" customFormat="1" ht="16.5" customHeight="1" x14ac:dyDescent="0.25">
      <c r="A11" s="144" t="s">
        <v>62</v>
      </c>
      <c r="B11" s="145"/>
      <c r="C11" s="145"/>
      <c r="D11" s="145"/>
      <c r="E11" s="146"/>
      <c r="F11" s="47"/>
      <c r="G11" s="47"/>
      <c r="H11" s="47"/>
      <c r="I11" s="48"/>
    </row>
    <row r="12" spans="1:9" s="1" customFormat="1" ht="16.5" customHeight="1" x14ac:dyDescent="0.25">
      <c r="A12" s="144" t="s">
        <v>64</v>
      </c>
      <c r="B12" s="145"/>
      <c r="C12" s="145"/>
      <c r="D12" s="145"/>
      <c r="E12" s="146"/>
      <c r="F12" s="47"/>
      <c r="G12" s="47"/>
      <c r="H12" s="47"/>
      <c r="I12" s="48"/>
    </row>
    <row r="13" spans="1:9" s="1" customFormat="1" ht="16.5" customHeight="1" x14ac:dyDescent="0.25">
      <c r="A13" s="144"/>
      <c r="B13" s="145"/>
      <c r="C13" s="145"/>
      <c r="D13" s="145"/>
      <c r="E13" s="146"/>
      <c r="F13" s="47" t="s">
        <v>5</v>
      </c>
      <c r="G13" s="47"/>
      <c r="H13" s="47"/>
      <c r="I13" s="48"/>
    </row>
    <row r="14" spans="1:9" s="1" customFormat="1" ht="16.5" customHeight="1" x14ac:dyDescent="0.25">
      <c r="A14" s="109" t="s">
        <v>71</v>
      </c>
      <c r="B14" s="110"/>
      <c r="C14" s="110"/>
      <c r="D14" s="110"/>
      <c r="E14" s="111"/>
      <c r="F14" s="47"/>
      <c r="G14" s="47"/>
      <c r="H14" s="47"/>
      <c r="I14" s="48"/>
    </row>
    <row r="15" spans="1:9" s="1" customFormat="1" ht="16.5" customHeight="1" thickBot="1" x14ac:dyDescent="0.3">
      <c r="A15" s="109" t="s">
        <v>29</v>
      </c>
      <c r="B15" s="110"/>
      <c r="C15" s="110"/>
      <c r="D15" s="110"/>
      <c r="E15" s="111"/>
      <c r="F15" s="47"/>
      <c r="G15" s="47"/>
      <c r="H15" s="47"/>
      <c r="I15" s="48"/>
    </row>
    <row r="16" spans="1:9" s="1" customFormat="1" ht="16.5" customHeight="1" thickTop="1" thickBot="1" x14ac:dyDescent="0.3">
      <c r="A16" s="130" t="s">
        <v>70</v>
      </c>
      <c r="B16" s="131"/>
      <c r="C16" s="131"/>
      <c r="D16" s="131"/>
      <c r="E16" s="132"/>
      <c r="F16" s="5" t="s">
        <v>15</v>
      </c>
      <c r="G16" s="6"/>
      <c r="H16" s="15" t="s">
        <v>23</v>
      </c>
      <c r="I16" s="44"/>
    </row>
    <row r="17" spans="1:12" s="1" customFormat="1" ht="16.5" customHeight="1" thickTop="1" thickBot="1" x14ac:dyDescent="0.3">
      <c r="A17" s="133"/>
      <c r="B17" s="134"/>
      <c r="C17" s="134"/>
      <c r="D17" s="134"/>
      <c r="E17" s="135"/>
      <c r="F17" s="112" t="s">
        <v>13</v>
      </c>
      <c r="G17" s="113"/>
      <c r="H17" s="114"/>
      <c r="I17" s="115"/>
    </row>
    <row r="18" spans="1:12" s="1" customFormat="1" ht="17.100000000000001" customHeight="1" thickTop="1" thickBot="1" x14ac:dyDescent="0.3">
      <c r="A18" s="54" t="s">
        <v>6</v>
      </c>
      <c r="B18" s="116" t="s">
        <v>14</v>
      </c>
      <c r="C18" s="116"/>
      <c r="D18" s="116"/>
      <c r="E18" s="16"/>
      <c r="F18" s="13" t="s">
        <v>25</v>
      </c>
      <c r="G18" s="47"/>
      <c r="H18" s="47"/>
      <c r="I18" s="48"/>
    </row>
    <row r="19" spans="1:12" s="1" customFormat="1" ht="17.100000000000001" customHeight="1" thickTop="1" thickBot="1" x14ac:dyDescent="0.3">
      <c r="A19" s="54" t="s">
        <v>7</v>
      </c>
      <c r="B19" s="117" t="s">
        <v>28</v>
      </c>
      <c r="C19" s="117"/>
      <c r="D19" s="117"/>
      <c r="E19" s="16"/>
      <c r="F19" s="10" t="s">
        <v>26</v>
      </c>
      <c r="G19" s="11"/>
      <c r="H19" s="11"/>
      <c r="I19" s="50"/>
    </row>
    <row r="20" spans="1:12" s="1" customFormat="1" ht="19.05" customHeight="1" thickTop="1" x14ac:dyDescent="0.25">
      <c r="A20" s="118" t="s">
        <v>8</v>
      </c>
      <c r="B20" s="120" t="s">
        <v>9</v>
      </c>
      <c r="C20" s="122" t="s">
        <v>10</v>
      </c>
      <c r="D20" s="123"/>
      <c r="E20" s="123"/>
      <c r="F20" s="124"/>
      <c r="G20" s="128" t="s">
        <v>11</v>
      </c>
      <c r="H20" s="128" t="s">
        <v>16</v>
      </c>
      <c r="I20" s="107" t="s">
        <v>17</v>
      </c>
    </row>
    <row r="21" spans="1:12" s="1" customFormat="1" ht="15" customHeight="1" thickBot="1" x14ac:dyDescent="0.3">
      <c r="A21" s="119"/>
      <c r="B21" s="121"/>
      <c r="C21" s="125"/>
      <c r="D21" s="126"/>
      <c r="E21" s="126"/>
      <c r="F21" s="127"/>
      <c r="G21" s="129"/>
      <c r="H21" s="129"/>
      <c r="I21" s="108"/>
    </row>
    <row r="22" spans="1:12" s="1" customFormat="1" ht="15" customHeight="1" thickTop="1" x14ac:dyDescent="0.25">
      <c r="A22" s="55"/>
      <c r="B22" s="17"/>
      <c r="C22" s="14"/>
      <c r="D22" s="14"/>
      <c r="E22" s="14"/>
      <c r="F22" s="27"/>
      <c r="G22" s="18"/>
      <c r="H22" s="19"/>
      <c r="I22" s="56"/>
    </row>
    <row r="23" spans="1:12" s="1" customFormat="1" ht="15" customHeight="1" x14ac:dyDescent="0.25">
      <c r="A23" s="57"/>
      <c r="B23" s="77">
        <v>1</v>
      </c>
      <c r="C23" s="98" t="s">
        <v>73</v>
      </c>
      <c r="D23" s="99"/>
      <c r="E23" s="99"/>
      <c r="F23" s="100"/>
      <c r="G23" s="29">
        <v>24816</v>
      </c>
      <c r="H23" s="78">
        <v>5.47</v>
      </c>
      <c r="I23" s="79">
        <f>G23*H23</f>
        <v>135743.51999999999</v>
      </c>
    </row>
    <row r="24" spans="1:12" s="1" customFormat="1" ht="15" customHeight="1" x14ac:dyDescent="0.25">
      <c r="A24" s="57"/>
      <c r="B24" s="77"/>
      <c r="C24" s="101" t="s">
        <v>65</v>
      </c>
      <c r="D24" s="102"/>
      <c r="E24" s="102"/>
      <c r="F24" s="103"/>
      <c r="G24" s="21"/>
      <c r="H24" s="80"/>
      <c r="I24" s="79"/>
    </row>
    <row r="25" spans="1:12" s="1" customFormat="1" ht="15" customHeight="1" x14ac:dyDescent="0.25">
      <c r="A25" s="57" t="s">
        <v>69</v>
      </c>
      <c r="B25" s="77">
        <v>2</v>
      </c>
      <c r="C25" s="98" t="s">
        <v>73</v>
      </c>
      <c r="D25" s="99"/>
      <c r="E25" s="99"/>
      <c r="F25" s="100"/>
      <c r="G25" s="29">
        <v>2068</v>
      </c>
      <c r="H25" s="78">
        <v>4.2699999999999996</v>
      </c>
      <c r="I25" s="79">
        <f t="shared" ref="I25" si="0">G25*H25</f>
        <v>8830.3599999999988</v>
      </c>
    </row>
    <row r="26" spans="1:12" s="1" customFormat="1" ht="15" customHeight="1" x14ac:dyDescent="0.25">
      <c r="A26" s="57"/>
      <c r="B26" s="77"/>
      <c r="C26" s="101" t="s">
        <v>72</v>
      </c>
      <c r="D26" s="102"/>
      <c r="E26" s="102"/>
      <c r="F26" s="103"/>
      <c r="G26" s="21"/>
      <c r="H26" s="80"/>
      <c r="I26" s="81"/>
      <c r="K26" s="85"/>
      <c r="L26" s="88"/>
    </row>
    <row r="27" spans="1:12" s="1" customFormat="1" ht="15" customHeight="1" x14ac:dyDescent="0.25">
      <c r="A27" s="57"/>
      <c r="B27" s="77"/>
      <c r="C27" s="98"/>
      <c r="D27" s="99"/>
      <c r="E27" s="99"/>
      <c r="F27" s="100"/>
      <c r="G27" s="29"/>
      <c r="H27" s="78"/>
      <c r="I27" s="79"/>
      <c r="J27" s="36"/>
      <c r="K27" s="36"/>
      <c r="L27" s="85"/>
    </row>
    <row r="28" spans="1:12" s="1" customFormat="1" ht="15" customHeight="1" x14ac:dyDescent="0.25">
      <c r="A28" s="63"/>
      <c r="B28" s="77"/>
      <c r="C28" s="101"/>
      <c r="D28" s="102"/>
      <c r="E28" s="102"/>
      <c r="F28" s="103"/>
      <c r="G28" s="21"/>
      <c r="H28" s="80"/>
      <c r="I28" s="81"/>
    </row>
    <row r="29" spans="1:12" s="1" customFormat="1" ht="15" customHeight="1" x14ac:dyDescent="0.25">
      <c r="A29" s="57"/>
      <c r="B29" s="77"/>
      <c r="C29" s="101"/>
      <c r="D29" s="102"/>
      <c r="E29" s="102"/>
      <c r="F29" s="103"/>
      <c r="G29" s="21"/>
      <c r="H29" s="80"/>
      <c r="I29" s="81"/>
      <c r="J29" s="36"/>
    </row>
    <row r="30" spans="1:12" s="1" customFormat="1" ht="15" customHeight="1" x14ac:dyDescent="0.25">
      <c r="A30" s="57"/>
      <c r="B30" s="20"/>
      <c r="C30" s="104"/>
      <c r="D30" s="105"/>
      <c r="E30" s="105"/>
      <c r="F30" s="106"/>
      <c r="G30" s="28"/>
      <c r="H30" s="30"/>
      <c r="I30" s="59"/>
      <c r="K30" s="87"/>
    </row>
    <row r="31" spans="1:12" s="1" customFormat="1" ht="15" customHeight="1" x14ac:dyDescent="0.25">
      <c r="A31" s="57"/>
      <c r="B31" s="20"/>
      <c r="C31" s="89" t="s">
        <v>78</v>
      </c>
      <c r="D31" s="90"/>
      <c r="E31" s="90"/>
      <c r="F31" s="91"/>
      <c r="G31" s="28"/>
      <c r="H31" s="22"/>
      <c r="I31" s="58"/>
    </row>
    <row r="32" spans="1:12" s="1" customFormat="1" ht="15" customHeight="1" x14ac:dyDescent="0.25">
      <c r="A32" s="57"/>
      <c r="B32" s="20"/>
      <c r="C32" s="89" t="s">
        <v>19</v>
      </c>
      <c r="D32" s="90"/>
      <c r="E32" s="90"/>
      <c r="F32" s="91"/>
      <c r="G32" s="21"/>
      <c r="H32" s="22"/>
      <c r="I32" s="58"/>
    </row>
    <row r="33" spans="1:13" s="1" customFormat="1" ht="15" customHeight="1" x14ac:dyDescent="0.25">
      <c r="A33" s="57"/>
      <c r="B33" s="23"/>
      <c r="C33" s="89" t="s">
        <v>79</v>
      </c>
      <c r="D33" s="90"/>
      <c r="E33" s="90"/>
      <c r="F33" s="91"/>
      <c r="G33" s="21"/>
      <c r="H33" s="86"/>
      <c r="I33" s="60"/>
    </row>
    <row r="34" spans="1:13" s="2" customFormat="1" ht="15" customHeight="1" x14ac:dyDescent="0.25">
      <c r="A34" s="61"/>
      <c r="B34" s="24"/>
      <c r="C34" s="89" t="s">
        <v>80</v>
      </c>
      <c r="D34" s="90"/>
      <c r="E34" s="90"/>
      <c r="F34" s="91"/>
      <c r="G34" s="25"/>
      <c r="H34" s="47"/>
      <c r="I34" s="62"/>
    </row>
    <row r="35" spans="1:13" s="2" customFormat="1" ht="15" customHeight="1" thickBot="1" x14ac:dyDescent="0.3">
      <c r="A35" s="61"/>
      <c r="B35" s="24"/>
      <c r="C35" s="92"/>
      <c r="D35" s="93"/>
      <c r="E35" s="93"/>
      <c r="F35" s="94"/>
      <c r="G35" s="25"/>
      <c r="H35" s="47"/>
      <c r="I35" s="62"/>
    </row>
    <row r="36" spans="1:13" s="2" customFormat="1" ht="15" customHeight="1" thickTop="1" thickBot="1" x14ac:dyDescent="0.3">
      <c r="A36" s="95" t="s">
        <v>81</v>
      </c>
      <c r="B36" s="96"/>
      <c r="C36" s="96"/>
      <c r="D36" s="96"/>
      <c r="E36" s="96"/>
      <c r="F36" s="96"/>
      <c r="G36" s="96"/>
      <c r="H36" s="96"/>
      <c r="I36" s="97"/>
    </row>
    <row r="37" spans="1:13" s="1" customFormat="1" ht="24" customHeight="1" thickTop="1" x14ac:dyDescent="0.25">
      <c r="A37" s="63"/>
      <c r="I37" s="64"/>
      <c r="M37" s="34"/>
    </row>
    <row r="38" spans="1:13" s="1" customFormat="1" ht="15" customHeight="1" x14ac:dyDescent="0.25">
      <c r="A38" s="65"/>
      <c r="B38" s="53"/>
      <c r="C38" s="53"/>
      <c r="D38" s="66"/>
      <c r="E38" s="67"/>
      <c r="F38" s="67"/>
      <c r="G38" s="67"/>
      <c r="H38" s="67"/>
      <c r="I38" s="68"/>
      <c r="M38" s="35"/>
    </row>
    <row r="39" spans="1:13" s="1" customFormat="1" ht="15" customHeight="1" x14ac:dyDescent="0.25">
      <c r="A39" s="65"/>
      <c r="B39" s="53"/>
      <c r="C39" s="53"/>
      <c r="D39" s="67"/>
      <c r="E39" s="67"/>
      <c r="F39" s="67"/>
      <c r="G39" s="67"/>
      <c r="H39" s="67"/>
      <c r="I39" s="68"/>
      <c r="K39" s="37"/>
    </row>
    <row r="40" spans="1:13" s="1" customFormat="1" ht="15" customHeight="1" x14ac:dyDescent="0.25">
      <c r="A40" s="57"/>
      <c r="B40" s="67"/>
      <c r="C40" s="67"/>
      <c r="D40" s="67"/>
      <c r="E40" s="67"/>
      <c r="F40" s="69" t="s">
        <v>12</v>
      </c>
      <c r="G40" s="67"/>
      <c r="H40" s="67"/>
      <c r="I40" s="68"/>
    </row>
    <row r="41" spans="1:13" s="1" customFormat="1" ht="15" customHeight="1" x14ac:dyDescent="0.25">
      <c r="A41" s="65"/>
      <c r="B41" s="53"/>
      <c r="C41" s="53"/>
      <c r="D41" s="70"/>
      <c r="E41" s="67"/>
      <c r="F41" s="70"/>
      <c r="G41" s="67"/>
      <c r="H41" s="67"/>
      <c r="I41" s="68"/>
    </row>
    <row r="42" spans="1:13" s="1" customFormat="1" ht="15" customHeight="1" x14ac:dyDescent="0.25">
      <c r="A42" s="65"/>
      <c r="B42" s="53"/>
      <c r="C42" s="53"/>
      <c r="D42" s="70"/>
      <c r="E42" s="53"/>
      <c r="F42" s="70"/>
      <c r="G42" s="67"/>
      <c r="H42" s="67"/>
      <c r="I42" s="68"/>
    </row>
    <row r="43" spans="1:13" s="1" customFormat="1" ht="15" customHeight="1" x14ac:dyDescent="0.25">
      <c r="A43" s="65"/>
      <c r="B43" s="53"/>
      <c r="C43" s="53"/>
      <c r="D43" s="70"/>
      <c r="E43" s="53"/>
      <c r="F43" s="67"/>
      <c r="G43" s="67"/>
      <c r="H43" s="67"/>
      <c r="I43" s="68"/>
    </row>
    <row r="44" spans="1:13" s="1" customFormat="1" ht="15" customHeight="1" x14ac:dyDescent="0.25">
      <c r="A44" s="65"/>
      <c r="B44" s="53"/>
      <c r="C44" s="53"/>
      <c r="D44" s="70"/>
      <c r="E44" s="53"/>
      <c r="F44" s="67"/>
      <c r="G44" s="67"/>
      <c r="H44" s="67"/>
      <c r="I44" s="68"/>
    </row>
    <row r="45" spans="1:13" s="1" customFormat="1" ht="15" customHeight="1" thickBot="1" x14ac:dyDescent="0.3">
      <c r="A45" s="65"/>
      <c r="B45" s="53"/>
      <c r="C45" s="53"/>
      <c r="D45" s="70"/>
      <c r="E45" s="53"/>
      <c r="F45" s="26"/>
      <c r="G45" s="26"/>
      <c r="H45" s="26"/>
      <c r="I45" s="68"/>
    </row>
    <row r="46" spans="1:13" s="1" customFormat="1" ht="15" customHeight="1" thickBot="1" x14ac:dyDescent="0.3">
      <c r="A46" s="71"/>
      <c r="B46" s="72"/>
      <c r="C46" s="72"/>
      <c r="D46" s="73"/>
      <c r="E46" s="72"/>
      <c r="F46" s="26"/>
      <c r="G46" s="26"/>
      <c r="H46" s="26"/>
      <c r="I46" s="74"/>
    </row>
    <row r="47" spans="1:13" s="1" customFormat="1" x14ac:dyDescent="0.25">
      <c r="A47" s="3"/>
      <c r="B47" s="3"/>
      <c r="C47" s="3"/>
      <c r="D47" s="3"/>
      <c r="E47" s="3"/>
      <c r="F47" s="3"/>
      <c r="G47" s="3"/>
      <c r="H47" s="3"/>
      <c r="I47" s="3"/>
    </row>
    <row r="48" spans="1:13" s="1" customFormat="1" x14ac:dyDescent="0.25">
      <c r="A48" s="3"/>
      <c r="B48" s="3"/>
      <c r="C48" s="3"/>
      <c r="D48" s="3"/>
      <c r="E48" s="3"/>
      <c r="F48" s="3"/>
      <c r="G48" s="3"/>
      <c r="H48" s="3"/>
      <c r="I48" s="3"/>
    </row>
    <row r="49" spans="1:9" s="1" customFormat="1" x14ac:dyDescent="0.25">
      <c r="A49" s="3"/>
      <c r="B49" s="3"/>
      <c r="C49" s="3"/>
      <c r="D49" s="3"/>
      <c r="E49" s="3"/>
      <c r="F49" s="3"/>
      <c r="G49" s="3"/>
      <c r="H49" s="3"/>
      <c r="I49" s="3"/>
    </row>
    <row r="50" spans="1:9" s="1" customFormat="1" x14ac:dyDescent="0.25">
      <c r="A50" s="3"/>
      <c r="B50" s="3"/>
      <c r="C50" s="3"/>
      <c r="D50" s="3"/>
      <c r="E50" s="3"/>
      <c r="F50" s="3"/>
      <c r="G50" s="3"/>
      <c r="H50" s="3"/>
      <c r="I50" s="3"/>
    </row>
    <row r="51" spans="1:9" s="1" customFormat="1" x14ac:dyDescent="0.25">
      <c r="A51" s="3"/>
      <c r="B51" s="3"/>
      <c r="C51" s="3"/>
      <c r="D51" s="3"/>
      <c r="E51" s="3"/>
      <c r="F51" s="3"/>
      <c r="G51" s="3"/>
      <c r="H51" s="3"/>
      <c r="I51" s="3"/>
    </row>
    <row r="52" spans="1:9" s="1" customFormat="1" x14ac:dyDescent="0.25">
      <c r="A52" s="3"/>
      <c r="B52" s="3"/>
      <c r="C52" s="3"/>
      <c r="D52" s="3"/>
      <c r="E52" s="3"/>
      <c r="F52" s="3"/>
      <c r="G52" s="3"/>
      <c r="H52" s="3"/>
      <c r="I52" s="3"/>
    </row>
    <row r="53" spans="1:9" s="1" customFormat="1" x14ac:dyDescent="0.25">
      <c r="A53" s="3"/>
      <c r="B53" s="3"/>
      <c r="C53" s="3"/>
      <c r="D53" s="3"/>
      <c r="E53" s="3"/>
      <c r="F53" s="3"/>
      <c r="G53" s="3"/>
      <c r="H53" s="3"/>
      <c r="I53" s="3"/>
    </row>
    <row r="54" spans="1:9" s="1" customFormat="1" x14ac:dyDescent="0.25">
      <c r="A54" s="3"/>
      <c r="B54" s="3"/>
      <c r="C54" s="3"/>
      <c r="D54" s="3"/>
      <c r="E54" s="3"/>
      <c r="F54" s="3"/>
      <c r="G54" s="3"/>
      <c r="H54" s="3"/>
      <c r="I54" s="3"/>
    </row>
    <row r="55" spans="1:9" s="1" customFormat="1" x14ac:dyDescent="0.25">
      <c r="A55" s="3"/>
      <c r="B55" s="3"/>
      <c r="C55" s="3"/>
      <c r="D55" s="3"/>
      <c r="E55" s="3"/>
      <c r="F55" s="3"/>
      <c r="G55" s="3"/>
      <c r="H55" s="3"/>
      <c r="I55" s="3"/>
    </row>
    <row r="56" spans="1:9" s="1" customFormat="1" x14ac:dyDescent="0.25">
      <c r="A56" s="3"/>
      <c r="B56" s="3"/>
      <c r="C56" s="3"/>
      <c r="D56" s="3"/>
      <c r="E56" s="3"/>
      <c r="F56" s="3"/>
      <c r="G56" s="3"/>
      <c r="H56" s="3"/>
      <c r="I56" s="3"/>
    </row>
    <row r="57" spans="1:9" s="1" customFormat="1" x14ac:dyDescent="0.25">
      <c r="A57" s="3"/>
      <c r="B57" s="3"/>
      <c r="C57" s="3"/>
      <c r="D57" s="3"/>
      <c r="E57" s="3"/>
      <c r="F57" s="3"/>
      <c r="G57" s="3"/>
      <c r="H57" s="3"/>
      <c r="I57" s="3"/>
    </row>
    <row r="58" spans="1:9" ht="15" x14ac:dyDescent="0.3">
      <c r="A58" s="4"/>
      <c r="B58" s="4"/>
      <c r="C58" s="4"/>
      <c r="D58" s="4"/>
      <c r="E58" s="4"/>
      <c r="F58" s="4"/>
      <c r="G58" s="4"/>
      <c r="H58" s="4"/>
      <c r="I58" s="4"/>
    </row>
    <row r="59" spans="1:9" ht="15" x14ac:dyDescent="0.3">
      <c r="A59" s="4"/>
      <c r="B59" s="4"/>
      <c r="C59" s="4"/>
      <c r="D59" s="4"/>
      <c r="E59" s="4"/>
      <c r="F59" s="4"/>
      <c r="G59" s="4"/>
      <c r="H59" s="4"/>
      <c r="I59" s="4"/>
    </row>
    <row r="60" spans="1:9" ht="15" x14ac:dyDescent="0.3">
      <c r="A60" s="4"/>
      <c r="B60" s="4"/>
      <c r="C60" s="4"/>
      <c r="D60" s="4"/>
      <c r="E60" s="4"/>
      <c r="F60" s="4"/>
      <c r="G60" s="4"/>
      <c r="H60" s="4"/>
      <c r="I60" s="4"/>
    </row>
    <row r="61" spans="1:9" ht="15" x14ac:dyDescent="0.3">
      <c r="A61" s="4"/>
      <c r="B61" s="4"/>
      <c r="C61" s="4"/>
      <c r="D61" s="4"/>
      <c r="E61" s="4"/>
      <c r="F61" s="4"/>
      <c r="G61" s="4"/>
      <c r="H61" s="4"/>
      <c r="I61" s="4"/>
    </row>
    <row r="62" spans="1:9" ht="15" x14ac:dyDescent="0.3">
      <c r="A62" s="4"/>
      <c r="B62" s="4"/>
      <c r="C62" s="4"/>
      <c r="D62" s="4"/>
      <c r="E62" s="4"/>
      <c r="F62" s="4"/>
      <c r="G62" s="4"/>
      <c r="H62" s="4"/>
      <c r="I62" s="4"/>
    </row>
    <row r="63" spans="1:9" ht="15" x14ac:dyDescent="0.3">
      <c r="A63" s="4"/>
      <c r="B63" s="4"/>
      <c r="C63" s="4"/>
      <c r="D63" s="4"/>
      <c r="E63" s="4"/>
      <c r="F63" s="4"/>
      <c r="G63" s="4"/>
      <c r="H63" s="4"/>
      <c r="I63" s="4"/>
    </row>
    <row r="64" spans="1:9" ht="15" x14ac:dyDescent="0.3">
      <c r="A64" s="4"/>
      <c r="B64" s="4"/>
      <c r="C64" s="4"/>
      <c r="D64" s="4"/>
      <c r="E64" s="4"/>
      <c r="F64" s="4"/>
      <c r="G64" s="4"/>
      <c r="H64" s="4"/>
      <c r="I64" s="4"/>
    </row>
    <row r="65" spans="1:9" ht="15" x14ac:dyDescent="0.3">
      <c r="A65" s="4"/>
      <c r="B65" s="4"/>
      <c r="C65" s="4"/>
      <c r="D65" s="4"/>
      <c r="E65" s="4"/>
      <c r="F65" s="4"/>
      <c r="G65" s="4"/>
      <c r="H65" s="4"/>
      <c r="I65" s="4"/>
    </row>
    <row r="66" spans="1:9" ht="15" x14ac:dyDescent="0.3">
      <c r="A66" s="4"/>
      <c r="B66" s="4"/>
      <c r="C66" s="4"/>
      <c r="D66" s="4"/>
      <c r="E66" s="4"/>
      <c r="F66" s="4"/>
      <c r="G66" s="4"/>
      <c r="H66" s="4"/>
      <c r="I66" s="4"/>
    </row>
    <row r="67" spans="1:9" ht="15" x14ac:dyDescent="0.3">
      <c r="A67" s="4"/>
      <c r="B67" s="4"/>
      <c r="C67" s="4"/>
      <c r="D67" s="4"/>
      <c r="E67" s="4"/>
      <c r="F67" s="4"/>
      <c r="G67" s="4"/>
      <c r="H67" s="4"/>
      <c r="I67" s="4"/>
    </row>
    <row r="68" spans="1:9" ht="15" x14ac:dyDescent="0.3">
      <c r="A68" s="4"/>
      <c r="B68" s="4"/>
      <c r="C68" s="4"/>
      <c r="D68" s="4"/>
      <c r="E68" s="4"/>
      <c r="F68" s="4"/>
      <c r="G68" s="4"/>
      <c r="H68" s="4"/>
      <c r="I68" s="4"/>
    </row>
    <row r="69" spans="1:9" ht="15" x14ac:dyDescent="0.3">
      <c r="A69" s="4"/>
      <c r="B69" s="4"/>
      <c r="C69" s="4"/>
      <c r="D69" s="4"/>
      <c r="E69" s="4"/>
      <c r="F69" s="4"/>
      <c r="G69" s="4"/>
      <c r="H69" s="4"/>
      <c r="I69" s="4"/>
    </row>
    <row r="70" spans="1:9" ht="15" x14ac:dyDescent="0.3">
      <c r="A70" s="4"/>
      <c r="B70" s="4"/>
      <c r="C70" s="4"/>
      <c r="D70" s="4"/>
      <c r="E70" s="4"/>
      <c r="F70" s="4"/>
      <c r="G70" s="4"/>
      <c r="H70" s="4"/>
      <c r="I70" s="4"/>
    </row>
    <row r="71" spans="1:9" ht="15" x14ac:dyDescent="0.3">
      <c r="A71" s="4"/>
      <c r="B71" s="4"/>
      <c r="C71" s="4"/>
      <c r="D71" s="4"/>
      <c r="E71" s="4"/>
      <c r="F71" s="4"/>
      <c r="G71" s="4"/>
      <c r="H71" s="4"/>
      <c r="I71" s="4"/>
    </row>
    <row r="72" spans="1:9" ht="15" x14ac:dyDescent="0.3">
      <c r="A72" s="4"/>
      <c r="B72" s="4"/>
      <c r="C72" s="4"/>
      <c r="D72" s="4"/>
      <c r="E72" s="4"/>
      <c r="F72" s="4"/>
      <c r="G72" s="4"/>
      <c r="H72" s="4"/>
      <c r="I72" s="4"/>
    </row>
    <row r="73" spans="1:9" ht="15" x14ac:dyDescent="0.3">
      <c r="A73" s="4"/>
      <c r="B73" s="4"/>
      <c r="C73" s="4"/>
      <c r="D73" s="4"/>
      <c r="E73" s="4"/>
      <c r="F73" s="4"/>
      <c r="G73" s="4"/>
      <c r="H73" s="4"/>
      <c r="I73" s="4"/>
    </row>
    <row r="74" spans="1:9" ht="15" x14ac:dyDescent="0.3">
      <c r="A74" s="4"/>
      <c r="B74" s="4"/>
      <c r="C74" s="4"/>
      <c r="D74" s="4"/>
      <c r="E74" s="4"/>
      <c r="F74" s="4"/>
      <c r="G74" s="4"/>
      <c r="H74" s="4"/>
      <c r="I74" s="4"/>
    </row>
    <row r="75" spans="1:9" ht="15" x14ac:dyDescent="0.3">
      <c r="A75" s="4"/>
      <c r="B75" s="4"/>
      <c r="C75" s="4"/>
      <c r="D75" s="4"/>
      <c r="E75" s="4"/>
      <c r="F75" s="4"/>
      <c r="G75" s="4"/>
      <c r="H75" s="4"/>
      <c r="I75" s="4"/>
    </row>
    <row r="76" spans="1:9" ht="15" x14ac:dyDescent="0.3">
      <c r="A76" s="4"/>
      <c r="B76" s="4"/>
      <c r="C76" s="4"/>
      <c r="D76" s="4"/>
      <c r="E76" s="4"/>
      <c r="F76" s="4"/>
      <c r="G76" s="4"/>
      <c r="H76" s="4"/>
      <c r="I76" s="4"/>
    </row>
    <row r="77" spans="1:9" ht="15" x14ac:dyDescent="0.3">
      <c r="A77" s="4"/>
      <c r="B77" s="4"/>
      <c r="C77" s="4"/>
      <c r="D77" s="4"/>
      <c r="E77" s="4"/>
      <c r="F77" s="4"/>
      <c r="G77" s="4"/>
      <c r="H77" s="4"/>
      <c r="I77" s="4"/>
    </row>
    <row r="78" spans="1:9" ht="15" x14ac:dyDescent="0.3">
      <c r="A78" s="4"/>
      <c r="B78" s="4"/>
      <c r="C78" s="4"/>
      <c r="D78" s="4"/>
      <c r="E78" s="4"/>
      <c r="F78" s="4"/>
      <c r="G78" s="4"/>
      <c r="H78" s="4"/>
      <c r="I78" s="4"/>
    </row>
    <row r="79" spans="1:9" ht="15" x14ac:dyDescent="0.3">
      <c r="A79" s="4"/>
      <c r="B79" s="4"/>
      <c r="C79" s="4"/>
      <c r="D79" s="4"/>
      <c r="E79" s="4"/>
      <c r="F79" s="4"/>
      <c r="G79" s="4"/>
      <c r="H79" s="4"/>
      <c r="I79" s="4"/>
    </row>
    <row r="80" spans="1:9" ht="15" x14ac:dyDescent="0.3">
      <c r="A80" s="4"/>
      <c r="B80" s="4"/>
      <c r="C80" s="4"/>
      <c r="D80" s="4"/>
      <c r="E80" s="4"/>
      <c r="F80" s="4"/>
      <c r="G80" s="4"/>
      <c r="H80" s="4"/>
      <c r="I80" s="4"/>
    </row>
    <row r="81" spans="1:9" ht="15" x14ac:dyDescent="0.3">
      <c r="A81" s="4"/>
      <c r="B81" s="4"/>
      <c r="C81" s="4"/>
      <c r="D81" s="4"/>
      <c r="E81" s="4"/>
      <c r="F81" s="4"/>
      <c r="G81" s="4"/>
      <c r="H81" s="4"/>
      <c r="I81" s="4"/>
    </row>
    <row r="82" spans="1:9" ht="15" x14ac:dyDescent="0.3">
      <c r="A82" s="4"/>
      <c r="B82" s="4"/>
      <c r="C82" s="4"/>
      <c r="D82" s="4"/>
      <c r="E82" s="4"/>
      <c r="F82" s="4"/>
      <c r="G82" s="4"/>
      <c r="H82" s="4"/>
      <c r="I82" s="4"/>
    </row>
    <row r="83" spans="1:9" ht="15" x14ac:dyDescent="0.3">
      <c r="A83" s="4"/>
      <c r="B83" s="4"/>
      <c r="C83" s="4"/>
      <c r="D83" s="4"/>
      <c r="E83" s="4"/>
      <c r="F83" s="4"/>
      <c r="G83" s="4"/>
      <c r="H83" s="4"/>
      <c r="I83" s="4"/>
    </row>
    <row r="84" spans="1:9" ht="15" x14ac:dyDescent="0.3">
      <c r="A84" s="4"/>
      <c r="B84" s="4"/>
      <c r="C84" s="4"/>
      <c r="D84" s="4"/>
      <c r="E84" s="4"/>
      <c r="F84" s="4"/>
      <c r="G84" s="4"/>
      <c r="H84" s="4"/>
      <c r="I84" s="4"/>
    </row>
    <row r="85" spans="1:9" ht="15" x14ac:dyDescent="0.3">
      <c r="A85" s="4"/>
      <c r="B85" s="4"/>
      <c r="C85" s="4"/>
      <c r="D85" s="4"/>
      <c r="E85" s="4"/>
      <c r="F85" s="4"/>
      <c r="G85" s="4"/>
      <c r="H85" s="4"/>
      <c r="I85" s="4"/>
    </row>
    <row r="86" spans="1:9" ht="15" x14ac:dyDescent="0.3">
      <c r="A86" s="4"/>
      <c r="B86" s="4"/>
      <c r="C86" s="4"/>
      <c r="D86" s="4"/>
      <c r="E86" s="4"/>
      <c r="F86" s="4"/>
      <c r="G86" s="4"/>
      <c r="H86" s="4"/>
      <c r="I86" s="4"/>
    </row>
    <row r="87" spans="1:9" ht="15" x14ac:dyDescent="0.3">
      <c r="A87" s="4"/>
      <c r="B87" s="4"/>
      <c r="C87" s="4"/>
      <c r="D87" s="4"/>
      <c r="E87" s="4"/>
      <c r="F87" s="4"/>
      <c r="G87" s="4"/>
      <c r="H87" s="4"/>
      <c r="I87" s="4"/>
    </row>
    <row r="88" spans="1:9" ht="15" x14ac:dyDescent="0.3">
      <c r="A88" s="4"/>
      <c r="B88" s="4"/>
      <c r="C88" s="4"/>
      <c r="D88" s="4"/>
      <c r="E88" s="4"/>
      <c r="F88" s="4"/>
      <c r="G88" s="4"/>
      <c r="H88" s="4"/>
      <c r="I88" s="4"/>
    </row>
    <row r="89" spans="1:9" ht="15" x14ac:dyDescent="0.3">
      <c r="A89" s="4"/>
      <c r="B89" s="4"/>
      <c r="C89" s="4"/>
      <c r="D89" s="4"/>
      <c r="E89" s="4"/>
      <c r="F89" s="4"/>
      <c r="G89" s="4"/>
      <c r="H89" s="4"/>
      <c r="I89" s="4"/>
    </row>
    <row r="90" spans="1:9" ht="15" x14ac:dyDescent="0.3">
      <c r="A90" s="4"/>
      <c r="B90" s="4"/>
      <c r="C90" s="4"/>
      <c r="D90" s="4"/>
      <c r="E90" s="4"/>
      <c r="F90" s="4"/>
      <c r="G90" s="4"/>
      <c r="H90" s="4"/>
      <c r="I90" s="4"/>
    </row>
    <row r="91" spans="1:9" ht="15" x14ac:dyDescent="0.3">
      <c r="A91" s="4"/>
      <c r="B91" s="4"/>
      <c r="C91" s="4"/>
      <c r="D91" s="4"/>
      <c r="E91" s="4"/>
      <c r="F91" s="4"/>
      <c r="G91" s="4"/>
      <c r="H91" s="4"/>
      <c r="I91" s="4"/>
    </row>
    <row r="92" spans="1:9" ht="15" x14ac:dyDescent="0.3">
      <c r="A92" s="4"/>
      <c r="B92" s="4"/>
      <c r="C92" s="4"/>
      <c r="D92" s="4"/>
      <c r="E92" s="4"/>
      <c r="F92" s="4"/>
      <c r="G92" s="4"/>
      <c r="H92" s="4"/>
      <c r="I92" s="4"/>
    </row>
    <row r="93" spans="1:9" ht="15" x14ac:dyDescent="0.3">
      <c r="A93" s="4"/>
      <c r="B93" s="4"/>
      <c r="C93" s="4"/>
      <c r="D93" s="4"/>
      <c r="E93" s="4"/>
      <c r="F93" s="4"/>
      <c r="G93" s="4"/>
      <c r="H93" s="4"/>
      <c r="I93" s="4"/>
    </row>
    <row r="94" spans="1:9" ht="15" x14ac:dyDescent="0.3">
      <c r="A94" s="4"/>
      <c r="B94" s="4"/>
      <c r="C94" s="4"/>
      <c r="D94" s="4"/>
      <c r="E94" s="4"/>
      <c r="F94" s="4"/>
      <c r="G94" s="4"/>
      <c r="H94" s="4"/>
      <c r="I94" s="4"/>
    </row>
    <row r="95" spans="1:9" ht="15" x14ac:dyDescent="0.3">
      <c r="A95" s="4"/>
      <c r="B95" s="4"/>
      <c r="C95" s="4"/>
      <c r="D95" s="4"/>
      <c r="E95" s="4"/>
      <c r="F95" s="4"/>
      <c r="G95" s="4"/>
      <c r="H95" s="4"/>
      <c r="I95" s="4"/>
    </row>
    <row r="96" spans="1:9" ht="15" x14ac:dyDescent="0.3">
      <c r="A96" s="4"/>
      <c r="B96" s="4"/>
      <c r="C96" s="4"/>
      <c r="D96" s="4"/>
      <c r="E96" s="4"/>
      <c r="F96" s="4"/>
      <c r="G96" s="4"/>
      <c r="H96" s="4"/>
      <c r="I96" s="4"/>
    </row>
    <row r="97" spans="1:9" ht="15" x14ac:dyDescent="0.3">
      <c r="A97" s="4"/>
      <c r="B97" s="4"/>
      <c r="C97" s="4"/>
      <c r="D97" s="4"/>
      <c r="E97" s="4"/>
      <c r="F97" s="4"/>
      <c r="G97" s="4"/>
      <c r="H97" s="4"/>
      <c r="I97" s="4"/>
    </row>
    <row r="98" spans="1:9" ht="15" x14ac:dyDescent="0.3">
      <c r="A98" s="4"/>
      <c r="B98" s="4"/>
      <c r="C98" s="4"/>
      <c r="D98" s="4"/>
      <c r="E98" s="4"/>
      <c r="F98" s="4"/>
      <c r="G98" s="4"/>
      <c r="H98" s="4"/>
      <c r="I98" s="4"/>
    </row>
    <row r="99" spans="1:9" ht="15" x14ac:dyDescent="0.3">
      <c r="A99" s="4"/>
      <c r="B99" s="4"/>
      <c r="C99" s="4"/>
      <c r="D99" s="4"/>
      <c r="E99" s="4"/>
      <c r="F99" s="4"/>
      <c r="G99" s="4"/>
      <c r="H99" s="4"/>
      <c r="I99" s="4"/>
    </row>
    <row r="100" spans="1:9" ht="15" x14ac:dyDescent="0.3">
      <c r="A100" s="4"/>
      <c r="B100" s="4"/>
      <c r="C100" s="4"/>
      <c r="D100" s="4"/>
      <c r="E100" s="4"/>
      <c r="F100" s="4"/>
      <c r="G100" s="4"/>
      <c r="H100" s="4"/>
      <c r="I100" s="4"/>
    </row>
    <row r="101" spans="1:9" ht="15" x14ac:dyDescent="0.3">
      <c r="A101" s="4"/>
      <c r="B101" s="4"/>
      <c r="C101" s="4"/>
      <c r="D101" s="4"/>
      <c r="E101" s="4"/>
      <c r="F101" s="4"/>
      <c r="G101" s="4"/>
      <c r="H101" s="4"/>
      <c r="I101" s="4"/>
    </row>
  </sheetData>
  <mergeCells count="31">
    <mergeCell ref="A1:I2"/>
    <mergeCell ref="F8:G8"/>
    <mergeCell ref="A11:E11"/>
    <mergeCell ref="A12:E12"/>
    <mergeCell ref="A13:E13"/>
    <mergeCell ref="I20:I21"/>
    <mergeCell ref="A14:E14"/>
    <mergeCell ref="A15:E15"/>
    <mergeCell ref="F17:I17"/>
    <mergeCell ref="B18:D18"/>
    <mergeCell ref="B19:D19"/>
    <mergeCell ref="A20:A21"/>
    <mergeCell ref="B20:B21"/>
    <mergeCell ref="C20:F21"/>
    <mergeCell ref="G20:G21"/>
    <mergeCell ref="H20:H21"/>
    <mergeCell ref="A16:E17"/>
    <mergeCell ref="C33:F33"/>
    <mergeCell ref="C34:F34"/>
    <mergeCell ref="C35:F35"/>
    <mergeCell ref="A36:I36"/>
    <mergeCell ref="C23:F23"/>
    <mergeCell ref="C24:F24"/>
    <mergeCell ref="C29:F29"/>
    <mergeCell ref="C30:F30"/>
    <mergeCell ref="C31:F31"/>
    <mergeCell ref="C32:F32"/>
    <mergeCell ref="C28:F28"/>
    <mergeCell ref="C27:F27"/>
    <mergeCell ref="C25:F25"/>
    <mergeCell ref="C26:F26"/>
  </mergeCells>
  <phoneticPr fontId="2" type="noConversion"/>
  <printOptions horizontalCentered="1"/>
  <pageMargins left="0.70866141732283472" right="0.70866141732283472" top="0.94488188976377963" bottom="0.74803149606299213" header="0.31496062992125984" footer="0.31496062992125984"/>
  <pageSetup paperSize="9" scale="94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view="pageBreakPreview" topLeftCell="A9" zoomScaleNormal="85" zoomScaleSheetLayoutView="100" workbookViewId="0">
      <selection activeCell="G23" sqref="G23"/>
    </sheetView>
  </sheetViews>
  <sheetFormatPr defaultRowHeight="14.4" x14ac:dyDescent="0.25"/>
  <cols>
    <col min="1" max="1" width="2.3984375" customWidth="1"/>
    <col min="2" max="2" width="11.296875" customWidth="1"/>
    <col min="3" max="3" width="4.69921875" customWidth="1"/>
    <col min="5" max="5" width="8.69921875" customWidth="1"/>
    <col min="6" max="6" width="9.69921875" customWidth="1"/>
    <col min="7" max="7" width="10.09765625" customWidth="1"/>
    <col min="8" max="8" width="8" customWidth="1"/>
    <col min="9" max="9" width="9.59765625" customWidth="1"/>
    <col min="10" max="10" width="12.69921875" customWidth="1"/>
  </cols>
  <sheetData>
    <row r="1" spans="1:10" s="1" customFormat="1" ht="20.100000000000001" customHeight="1" thickTop="1" x14ac:dyDescent="0.25">
      <c r="A1" s="33"/>
      <c r="B1" s="136" t="s">
        <v>30</v>
      </c>
      <c r="C1" s="137"/>
      <c r="D1" s="137"/>
      <c r="E1" s="137"/>
      <c r="F1" s="137"/>
      <c r="G1" s="137"/>
      <c r="H1" s="137"/>
      <c r="I1" s="168"/>
      <c r="J1" s="138"/>
    </row>
    <row r="2" spans="1:10" s="1" customFormat="1" ht="20.100000000000001" customHeight="1" thickBot="1" x14ac:dyDescent="0.3">
      <c r="A2" s="32"/>
      <c r="B2" s="139"/>
      <c r="C2" s="140"/>
      <c r="D2" s="140"/>
      <c r="E2" s="140"/>
      <c r="F2" s="140"/>
      <c r="G2" s="140"/>
      <c r="H2" s="140"/>
      <c r="I2" s="169"/>
      <c r="J2" s="141"/>
    </row>
    <row r="3" spans="1:10" s="1" customFormat="1" ht="20.100000000000001" customHeight="1" thickTop="1" x14ac:dyDescent="0.25">
      <c r="A3" s="32"/>
      <c r="B3" s="43" t="s">
        <v>31</v>
      </c>
      <c r="C3" s="6"/>
      <c r="D3" s="6"/>
      <c r="E3" s="6"/>
      <c r="F3" s="6"/>
      <c r="G3" s="5" t="str">
        <f>Invoice!F3</f>
        <v>INVOICE NO : TS-260119-01</v>
      </c>
      <c r="H3" s="6"/>
      <c r="I3" s="6"/>
      <c r="J3" s="44"/>
    </row>
    <row r="4" spans="1:10" s="1" customFormat="1" ht="20.100000000000001" customHeight="1" thickBot="1" x14ac:dyDescent="0.3">
      <c r="A4" s="32"/>
      <c r="B4" s="45" t="s">
        <v>32</v>
      </c>
      <c r="C4" s="46"/>
      <c r="D4" s="46"/>
      <c r="E4" s="46"/>
      <c r="F4" s="8"/>
      <c r="G4" s="31" t="str">
        <f>Invoice!F4</f>
        <v>INVOICE DATE : 19th.Jan.2026</v>
      </c>
      <c r="H4" s="47"/>
      <c r="I4" s="11"/>
      <c r="J4" s="48"/>
    </row>
    <row r="5" spans="1:10" s="1" customFormat="1" ht="20.100000000000001" customHeight="1" thickTop="1" x14ac:dyDescent="0.25">
      <c r="A5" s="32"/>
      <c r="B5" s="49" t="s">
        <v>33</v>
      </c>
      <c r="C5" s="47"/>
      <c r="D5" s="47"/>
      <c r="E5" s="47"/>
      <c r="F5" s="47"/>
      <c r="G5" s="5" t="s">
        <v>34</v>
      </c>
      <c r="H5" s="6"/>
      <c r="I5" s="6"/>
      <c r="J5" s="44"/>
    </row>
    <row r="6" spans="1:10" s="1" customFormat="1" ht="20.100000000000001" customHeight="1" thickBot="1" x14ac:dyDescent="0.3">
      <c r="A6" s="32"/>
      <c r="B6" s="49" t="s">
        <v>35</v>
      </c>
      <c r="C6" s="47"/>
      <c r="D6" s="47"/>
      <c r="E6" s="47"/>
      <c r="F6" s="47"/>
      <c r="G6" s="10"/>
      <c r="H6" s="11"/>
      <c r="I6" s="11"/>
      <c r="J6" s="50"/>
    </row>
    <row r="7" spans="1:10" s="1" customFormat="1" ht="20.100000000000001" customHeight="1" thickTop="1" x14ac:dyDescent="0.25">
      <c r="A7" s="32"/>
      <c r="B7" s="49" t="s">
        <v>36</v>
      </c>
      <c r="C7" s="47"/>
      <c r="D7" s="47"/>
      <c r="E7" s="47"/>
      <c r="F7" s="47"/>
      <c r="G7" s="13" t="s">
        <v>37</v>
      </c>
      <c r="H7" s="47"/>
      <c r="I7" s="47"/>
      <c r="J7" s="44"/>
    </row>
    <row r="8" spans="1:10" s="1" customFormat="1" ht="20.100000000000001" customHeight="1" thickBot="1" x14ac:dyDescent="0.3">
      <c r="A8" s="32"/>
      <c r="B8" s="51" t="s">
        <v>38</v>
      </c>
      <c r="C8" s="11"/>
      <c r="D8" s="11"/>
      <c r="E8" s="11"/>
      <c r="F8" s="12"/>
      <c r="G8" s="142"/>
      <c r="H8" s="143"/>
      <c r="I8" s="11"/>
      <c r="J8" s="50"/>
    </row>
    <row r="9" spans="1:10" s="1" customFormat="1" ht="20.100000000000001" customHeight="1" thickTop="1" x14ac:dyDescent="0.25">
      <c r="A9" s="32"/>
      <c r="B9" s="43" t="s">
        <v>39</v>
      </c>
      <c r="C9" s="6"/>
      <c r="D9" s="6"/>
      <c r="E9" s="6"/>
      <c r="F9" s="7"/>
      <c r="G9" s="14" t="s">
        <v>40</v>
      </c>
      <c r="H9" s="47"/>
      <c r="I9" s="6"/>
      <c r="J9" s="48"/>
    </row>
    <row r="10" spans="1:10" s="1" customFormat="1" ht="20.100000000000001" customHeight="1" x14ac:dyDescent="0.4">
      <c r="A10" s="32"/>
      <c r="B10" s="52" t="s">
        <v>61</v>
      </c>
      <c r="C10" s="47"/>
      <c r="D10" s="47"/>
      <c r="E10" s="47"/>
      <c r="F10" s="9"/>
      <c r="G10" s="47"/>
      <c r="H10" s="47"/>
      <c r="I10" s="47"/>
      <c r="J10" s="48"/>
    </row>
    <row r="11" spans="1:10" s="1" customFormat="1" ht="20.100000000000001" customHeight="1" x14ac:dyDescent="0.25">
      <c r="A11" s="32"/>
      <c r="B11" s="144" t="s">
        <v>41</v>
      </c>
      <c r="C11" s="145"/>
      <c r="D11" s="145"/>
      <c r="E11" s="145"/>
      <c r="F11" s="146"/>
      <c r="G11" s="47"/>
      <c r="H11" s="47"/>
      <c r="I11" s="47"/>
      <c r="J11" s="48"/>
    </row>
    <row r="12" spans="1:10" s="1" customFormat="1" ht="20.100000000000001" customHeight="1" x14ac:dyDescent="0.25">
      <c r="A12" s="32" t="s">
        <v>64</v>
      </c>
      <c r="B12" s="170" t="s">
        <v>64</v>
      </c>
      <c r="C12" s="171"/>
      <c r="D12" s="171"/>
      <c r="E12" s="171"/>
      <c r="F12" s="172"/>
      <c r="G12" s="47" t="s">
        <v>42</v>
      </c>
      <c r="H12" s="47"/>
      <c r="I12" s="47"/>
      <c r="J12" s="48"/>
    </row>
    <row r="13" spans="1:10" s="1" customFormat="1" ht="20.100000000000001" customHeight="1" x14ac:dyDescent="0.25">
      <c r="A13" s="32"/>
      <c r="B13" s="144"/>
      <c r="C13" s="145"/>
      <c r="D13" s="145"/>
      <c r="E13" s="145"/>
      <c r="F13" s="146"/>
      <c r="G13" s="47"/>
      <c r="H13" s="47"/>
      <c r="I13" s="47"/>
      <c r="J13" s="48"/>
    </row>
    <row r="14" spans="1:10" s="1" customFormat="1" ht="20.100000000000001" customHeight="1" x14ac:dyDescent="0.25">
      <c r="A14" s="32"/>
      <c r="B14" s="156"/>
      <c r="C14" s="145"/>
      <c r="D14" s="145"/>
      <c r="E14" s="145"/>
      <c r="F14" s="146"/>
      <c r="G14" s="47"/>
      <c r="H14" s="47"/>
      <c r="I14" s="47"/>
      <c r="J14" s="48"/>
    </row>
    <row r="15" spans="1:10" s="1" customFormat="1" ht="20.100000000000001" customHeight="1" x14ac:dyDescent="0.25">
      <c r="A15" s="32"/>
      <c r="B15" s="109" t="s">
        <v>71</v>
      </c>
      <c r="C15" s="110"/>
      <c r="D15" s="110"/>
      <c r="E15" s="110"/>
      <c r="F15" s="111"/>
      <c r="G15" s="47"/>
      <c r="H15" s="47"/>
      <c r="I15" s="47"/>
      <c r="J15" s="48"/>
    </row>
    <row r="16" spans="1:10" s="1" customFormat="1" ht="20.100000000000001" customHeight="1" thickBot="1" x14ac:dyDescent="0.3">
      <c r="A16" s="32"/>
      <c r="B16" s="109" t="s">
        <v>29</v>
      </c>
      <c r="C16" s="110"/>
      <c r="D16" s="110"/>
      <c r="E16" s="110"/>
      <c r="F16" s="111"/>
      <c r="G16" s="47"/>
      <c r="H16" s="47"/>
      <c r="I16" s="47"/>
      <c r="J16" s="50"/>
    </row>
    <row r="17" spans="1:14" s="1" customFormat="1" ht="20.100000000000001" customHeight="1" thickTop="1" thickBot="1" x14ac:dyDescent="0.3">
      <c r="A17" s="32"/>
      <c r="B17" s="130" t="s">
        <v>70</v>
      </c>
      <c r="C17" s="131"/>
      <c r="D17" s="131"/>
      <c r="E17" s="131"/>
      <c r="F17" s="132"/>
      <c r="G17" s="5" t="s">
        <v>43</v>
      </c>
      <c r="H17" s="6"/>
      <c r="I17" s="15" t="s">
        <v>44</v>
      </c>
      <c r="J17" s="75"/>
    </row>
    <row r="18" spans="1:14" s="1" customFormat="1" ht="20.100000000000001" customHeight="1" thickTop="1" thickBot="1" x14ac:dyDescent="0.3">
      <c r="A18" s="32"/>
      <c r="B18" s="133"/>
      <c r="C18" s="134"/>
      <c r="D18" s="134"/>
      <c r="E18" s="134"/>
      <c r="F18" s="135"/>
      <c r="G18" s="112" t="s">
        <v>45</v>
      </c>
      <c r="H18" s="113"/>
      <c r="I18" s="157"/>
      <c r="J18" s="115"/>
    </row>
    <row r="19" spans="1:14" s="1" customFormat="1" ht="20.100000000000001" customHeight="1" thickTop="1" x14ac:dyDescent="0.25">
      <c r="A19" s="32"/>
      <c r="B19" s="43" t="s">
        <v>46</v>
      </c>
      <c r="C19" s="158" t="s">
        <v>47</v>
      </c>
      <c r="D19" s="158"/>
      <c r="E19" s="158"/>
      <c r="F19" s="7"/>
      <c r="G19" s="5" t="s">
        <v>48</v>
      </c>
      <c r="H19" s="159" t="s">
        <v>49</v>
      </c>
      <c r="I19" s="160"/>
      <c r="J19" s="161"/>
    </row>
    <row r="20" spans="1:14" s="1" customFormat="1" ht="20.100000000000001" customHeight="1" x14ac:dyDescent="0.25">
      <c r="A20" s="32"/>
      <c r="B20" s="162" t="s">
        <v>50</v>
      </c>
      <c r="C20" s="164" t="s">
        <v>51</v>
      </c>
      <c r="D20" s="151" t="s">
        <v>52</v>
      </c>
      <c r="E20" s="151"/>
      <c r="F20" s="151" t="s">
        <v>53</v>
      </c>
      <c r="G20" s="151" t="s">
        <v>54</v>
      </c>
      <c r="H20" s="147" t="s">
        <v>55</v>
      </c>
      <c r="I20" s="147" t="s">
        <v>56</v>
      </c>
      <c r="J20" s="152" t="s">
        <v>57</v>
      </c>
    </row>
    <row r="21" spans="1:14" s="1" customFormat="1" ht="20.100000000000001" customHeight="1" x14ac:dyDescent="0.25">
      <c r="A21" s="32"/>
      <c r="B21" s="163"/>
      <c r="C21" s="165"/>
      <c r="D21" s="151"/>
      <c r="E21" s="151"/>
      <c r="F21" s="151"/>
      <c r="G21" s="151"/>
      <c r="H21" s="148"/>
      <c r="I21" s="148"/>
      <c r="J21" s="153"/>
    </row>
    <row r="22" spans="1:14" s="1" customFormat="1" ht="20.100000000000001" hidden="1" customHeight="1" x14ac:dyDescent="0.25">
      <c r="A22" s="32"/>
      <c r="B22" s="61"/>
      <c r="C22" s="38">
        <v>2</v>
      </c>
      <c r="D22" s="149" t="s">
        <v>63</v>
      </c>
      <c r="E22" s="149"/>
      <c r="F22" s="38" t="s">
        <v>58</v>
      </c>
      <c r="G22" s="39">
        <v>0</v>
      </c>
      <c r="H22" s="82">
        <v>5.2</v>
      </c>
      <c r="I22" s="40">
        <f t="shared" ref="I22" si="0">H22*G22</f>
        <v>0</v>
      </c>
      <c r="J22" s="76"/>
    </row>
    <row r="23" spans="1:14" s="1" customFormat="1" ht="20.100000000000001" customHeight="1" x14ac:dyDescent="0.25">
      <c r="A23" s="32"/>
      <c r="B23" s="154"/>
      <c r="C23" s="38">
        <v>1</v>
      </c>
      <c r="D23" s="149" t="s">
        <v>67</v>
      </c>
      <c r="E23" s="149"/>
      <c r="F23" s="38" t="s">
        <v>68</v>
      </c>
      <c r="G23" s="39">
        <v>8272</v>
      </c>
      <c r="H23" s="82">
        <v>5.2</v>
      </c>
      <c r="I23" s="40">
        <f>H23*G23</f>
        <v>43014.400000000001</v>
      </c>
      <c r="J23" s="76"/>
    </row>
    <row r="24" spans="1:14" s="1" customFormat="1" ht="20.100000000000001" customHeight="1" x14ac:dyDescent="0.25">
      <c r="A24" s="32"/>
      <c r="B24" s="154"/>
      <c r="C24" s="38">
        <v>2</v>
      </c>
      <c r="D24" s="149" t="s">
        <v>63</v>
      </c>
      <c r="E24" s="149"/>
      <c r="F24" s="38" t="s">
        <v>75</v>
      </c>
      <c r="G24" s="39">
        <v>1034</v>
      </c>
      <c r="H24" s="82">
        <v>5.2</v>
      </c>
      <c r="I24" s="40">
        <f>H24*G24</f>
        <v>5376.8</v>
      </c>
      <c r="J24" s="76"/>
    </row>
    <row r="25" spans="1:14" s="1" customFormat="1" ht="20.100000000000001" customHeight="1" x14ac:dyDescent="0.25">
      <c r="A25" s="32"/>
      <c r="B25" s="154"/>
      <c r="C25" s="38">
        <v>3</v>
      </c>
      <c r="D25" s="150" t="s">
        <v>59</v>
      </c>
      <c r="E25" s="150"/>
      <c r="F25" s="38" t="s">
        <v>58</v>
      </c>
      <c r="G25" s="41">
        <f>G26*12</f>
        <v>108</v>
      </c>
      <c r="H25" s="82">
        <v>155</v>
      </c>
      <c r="I25" s="40">
        <f>H25*G25</f>
        <v>16740</v>
      </c>
      <c r="J25" s="76"/>
    </row>
    <row r="26" spans="1:14" s="1" customFormat="1" ht="20.100000000000001" customHeight="1" x14ac:dyDescent="0.25">
      <c r="A26" s="32"/>
      <c r="B26" s="154"/>
      <c r="C26" s="38">
        <v>4</v>
      </c>
      <c r="D26" s="149" t="s">
        <v>74</v>
      </c>
      <c r="E26" s="149"/>
      <c r="F26" s="38" t="s">
        <v>58</v>
      </c>
      <c r="G26" s="41">
        <f>SUM(G23:G24)/1034</f>
        <v>9</v>
      </c>
      <c r="H26" s="83">
        <v>4.5199999999999996</v>
      </c>
      <c r="I26" s="40">
        <f>H26*G26</f>
        <v>40.679999999999993</v>
      </c>
      <c r="J26" s="76"/>
      <c r="M26" s="1">
        <f>M23/1034</f>
        <v>0</v>
      </c>
    </row>
    <row r="27" spans="1:14" s="1" customFormat="1" ht="20.100000000000001" customHeight="1" x14ac:dyDescent="0.25">
      <c r="A27" s="32"/>
      <c r="B27" s="154"/>
      <c r="C27" s="38">
        <v>5</v>
      </c>
      <c r="D27" s="150" t="s">
        <v>66</v>
      </c>
      <c r="E27" s="150"/>
      <c r="F27" s="38" t="s">
        <v>58</v>
      </c>
      <c r="G27" s="41">
        <v>1</v>
      </c>
      <c r="H27" s="83">
        <v>7200</v>
      </c>
      <c r="I27" s="40">
        <f>H27*G27</f>
        <v>7200</v>
      </c>
      <c r="J27" s="76"/>
    </row>
    <row r="28" spans="1:14" s="1" customFormat="1" ht="20.100000000000001" customHeight="1" x14ac:dyDescent="0.25">
      <c r="A28" s="32"/>
      <c r="B28" s="155"/>
      <c r="C28" s="166"/>
      <c r="D28" s="167"/>
      <c r="E28" s="167"/>
      <c r="F28" s="167"/>
      <c r="G28" s="167"/>
      <c r="H28" s="167"/>
      <c r="I28" s="84">
        <f>SUM(I22:I27)</f>
        <v>72371.88</v>
      </c>
      <c r="J28" s="76"/>
    </row>
    <row r="29" spans="1:14" s="1" customFormat="1" ht="15" customHeight="1" x14ac:dyDescent="0.25">
      <c r="A29" s="32"/>
      <c r="B29" s="65"/>
      <c r="C29" s="53"/>
      <c r="D29" s="53"/>
      <c r="E29" s="66"/>
      <c r="F29" s="67"/>
      <c r="G29" s="67"/>
      <c r="H29" s="67"/>
      <c r="I29" s="67"/>
      <c r="J29" s="68"/>
    </row>
    <row r="30" spans="1:14" s="1" customFormat="1" ht="15" customHeight="1" x14ac:dyDescent="0.25">
      <c r="A30" s="32"/>
      <c r="B30" s="57"/>
      <c r="C30" s="67"/>
      <c r="D30" s="67"/>
      <c r="E30" s="67"/>
      <c r="F30" s="67"/>
      <c r="G30" s="69" t="s">
        <v>60</v>
      </c>
      <c r="H30" s="67"/>
      <c r="I30" s="67"/>
      <c r="J30" s="68"/>
      <c r="N30" s="42"/>
    </row>
    <row r="31" spans="1:14" s="1" customFormat="1" ht="15" customHeight="1" x14ac:dyDescent="0.25">
      <c r="A31" s="32"/>
      <c r="B31" s="65"/>
      <c r="C31" s="53"/>
      <c r="D31" s="53"/>
      <c r="E31" s="70"/>
      <c r="F31" s="67"/>
      <c r="G31" s="70"/>
      <c r="H31" s="67"/>
      <c r="I31" s="67"/>
      <c r="J31" s="68"/>
    </row>
    <row r="32" spans="1:14" s="1" customFormat="1" ht="15" customHeight="1" x14ac:dyDescent="0.25">
      <c r="A32" s="32"/>
      <c r="B32" s="65"/>
      <c r="C32" s="53"/>
      <c r="D32" s="53"/>
      <c r="E32" s="70"/>
      <c r="F32" s="53"/>
      <c r="G32" s="70"/>
      <c r="H32" s="67"/>
      <c r="I32" s="67"/>
      <c r="J32" s="68"/>
    </row>
    <row r="33" spans="1:10" s="1" customFormat="1" ht="15" customHeight="1" x14ac:dyDescent="0.25">
      <c r="A33" s="32"/>
      <c r="B33" s="65"/>
      <c r="C33" s="53"/>
      <c r="D33" s="53"/>
      <c r="E33" s="70"/>
      <c r="F33" s="53"/>
      <c r="G33" s="67"/>
      <c r="H33" s="67"/>
      <c r="I33" s="67"/>
      <c r="J33" s="68"/>
    </row>
    <row r="34" spans="1:10" s="1" customFormat="1" x14ac:dyDescent="0.25">
      <c r="A34"/>
      <c r="B34" s="65"/>
      <c r="C34" s="53"/>
      <c r="D34" s="53"/>
      <c r="E34" s="70"/>
      <c r="F34" s="53"/>
      <c r="G34" s="67"/>
      <c r="H34" s="67"/>
      <c r="I34" s="67"/>
      <c r="J34" s="68"/>
    </row>
    <row r="35" spans="1:10" s="1" customFormat="1" ht="15" thickBot="1" x14ac:dyDescent="0.3">
      <c r="A35"/>
      <c r="B35" s="65"/>
      <c r="C35" s="53"/>
      <c r="D35" s="53"/>
      <c r="E35" s="70"/>
      <c r="F35" s="53"/>
      <c r="G35" s="26"/>
      <c r="H35" s="26"/>
      <c r="I35" s="26"/>
      <c r="J35" s="68"/>
    </row>
    <row r="36" spans="1:10" s="1" customFormat="1" ht="15" thickBot="1" x14ac:dyDescent="0.3">
      <c r="A36"/>
      <c r="B36" s="71"/>
      <c r="C36" s="72"/>
      <c r="D36" s="72"/>
      <c r="E36" s="73"/>
      <c r="F36" s="72"/>
      <c r="G36" s="26"/>
      <c r="H36" s="26"/>
      <c r="I36" s="26"/>
      <c r="J36" s="74"/>
    </row>
    <row r="37" spans="1:10" s="1" customFormat="1" x14ac:dyDescent="0.25">
      <c r="A37"/>
      <c r="B37"/>
      <c r="C37"/>
      <c r="D37"/>
      <c r="E37"/>
      <c r="F37"/>
      <c r="G37"/>
      <c r="H37"/>
      <c r="I37"/>
      <c r="J37"/>
    </row>
    <row r="38" spans="1:10" s="1" customFormat="1" x14ac:dyDescent="0.25">
      <c r="A38"/>
      <c r="B38"/>
      <c r="C38"/>
      <c r="D38"/>
      <c r="E38"/>
      <c r="F38"/>
      <c r="G38"/>
      <c r="H38"/>
      <c r="I38"/>
      <c r="J38"/>
    </row>
    <row r="39" spans="1:10" s="1" customFormat="1" x14ac:dyDescent="0.25">
      <c r="A39"/>
      <c r="B39"/>
      <c r="C39"/>
      <c r="D39"/>
      <c r="E39"/>
      <c r="F39"/>
      <c r="G39"/>
      <c r="H39"/>
      <c r="I39"/>
      <c r="J39"/>
    </row>
    <row r="40" spans="1:10" s="1" customFormat="1" x14ac:dyDescent="0.25">
      <c r="A40"/>
      <c r="B40"/>
      <c r="C40"/>
      <c r="D40"/>
      <c r="E40"/>
      <c r="F40"/>
      <c r="G40"/>
      <c r="H40"/>
      <c r="I40"/>
      <c r="J40"/>
    </row>
    <row r="41" spans="1:10" s="1" customFormat="1" x14ac:dyDescent="0.25">
      <c r="B41"/>
      <c r="C41"/>
      <c r="D41"/>
      <c r="E41"/>
      <c r="F41"/>
      <c r="G41"/>
      <c r="H41"/>
      <c r="I41"/>
      <c r="J41"/>
    </row>
    <row r="42" spans="1:10" s="1" customFormat="1" x14ac:dyDescent="0.25">
      <c r="B42"/>
      <c r="C42"/>
      <c r="D42"/>
      <c r="E42"/>
      <c r="F42"/>
      <c r="G42"/>
      <c r="H42"/>
      <c r="I42"/>
      <c r="J42"/>
    </row>
    <row r="43" spans="1:10" s="1" customFormat="1" x14ac:dyDescent="0.25">
      <c r="B43"/>
      <c r="C43"/>
      <c r="D43"/>
      <c r="E43"/>
      <c r="F43"/>
      <c r="G43"/>
      <c r="H43"/>
      <c r="I43"/>
      <c r="J43"/>
    </row>
    <row r="44" spans="1:10" s="1" customFormat="1" x14ac:dyDescent="0.25">
      <c r="B44" s="3"/>
      <c r="C44" s="3"/>
      <c r="D44" s="3"/>
      <c r="E44" s="3"/>
      <c r="F44" s="3"/>
      <c r="G44" s="3"/>
      <c r="H44" s="3"/>
      <c r="I44" s="3"/>
      <c r="J44" s="3"/>
    </row>
    <row r="45" spans="1:10" x14ac:dyDescent="0.25">
      <c r="B45" s="3"/>
      <c r="C45" s="3"/>
      <c r="D45" s="3"/>
      <c r="E45" s="3"/>
      <c r="F45" s="3"/>
      <c r="G45" s="3"/>
      <c r="H45" s="3"/>
      <c r="I45" s="3"/>
      <c r="J45" s="3"/>
    </row>
    <row r="46" spans="1:10" x14ac:dyDescent="0.25">
      <c r="B46" s="3"/>
      <c r="C46" s="3"/>
      <c r="D46" s="3"/>
      <c r="E46" s="3"/>
      <c r="F46" s="3"/>
      <c r="G46" s="3"/>
      <c r="H46" s="3"/>
      <c r="I46" s="3"/>
      <c r="J46" s="3"/>
    </row>
    <row r="47" spans="1:10" x14ac:dyDescent="0.25">
      <c r="B47" s="3"/>
      <c r="C47" s="3"/>
      <c r="D47" s="3"/>
      <c r="E47" s="3"/>
      <c r="F47" s="3"/>
      <c r="G47" s="3"/>
      <c r="H47" s="3"/>
      <c r="I47" s="3"/>
      <c r="J47" s="3"/>
    </row>
    <row r="48" spans="1:10" ht="15" x14ac:dyDescent="0.3">
      <c r="B48" s="4"/>
      <c r="C48" s="4"/>
      <c r="D48" s="4"/>
      <c r="E48" s="4"/>
      <c r="F48" s="4"/>
      <c r="G48" s="4"/>
      <c r="H48" s="4"/>
      <c r="I48" s="4"/>
      <c r="J48" s="4"/>
    </row>
    <row r="49" spans="2:10" ht="15" x14ac:dyDescent="0.3">
      <c r="B49" s="4"/>
      <c r="C49" s="4"/>
      <c r="D49" s="4"/>
      <c r="E49" s="4"/>
      <c r="F49" s="4"/>
      <c r="G49" s="4"/>
      <c r="H49" s="4"/>
      <c r="I49" s="4"/>
      <c r="J49" s="4"/>
    </row>
    <row r="50" spans="2:10" ht="15" x14ac:dyDescent="0.3">
      <c r="B50" s="4"/>
      <c r="C50" s="4"/>
      <c r="D50" s="4"/>
      <c r="E50" s="4"/>
      <c r="F50" s="4"/>
      <c r="G50" s="4"/>
      <c r="H50" s="4"/>
      <c r="I50" s="4"/>
      <c r="J50" s="4"/>
    </row>
    <row r="51" spans="2:10" ht="15" x14ac:dyDescent="0.3">
      <c r="B51" s="4"/>
      <c r="C51" s="4"/>
      <c r="D51" s="4"/>
      <c r="E51" s="4"/>
      <c r="F51" s="4"/>
      <c r="G51" s="4"/>
      <c r="H51" s="4"/>
      <c r="I51" s="4"/>
      <c r="J51" s="4"/>
    </row>
    <row r="52" spans="2:10" ht="15" x14ac:dyDescent="0.3">
      <c r="B52" s="4"/>
      <c r="C52" s="4"/>
      <c r="D52" s="4"/>
      <c r="E52" s="4"/>
      <c r="F52" s="4"/>
      <c r="G52" s="4"/>
      <c r="H52" s="4"/>
      <c r="I52" s="4"/>
      <c r="J52" s="4"/>
    </row>
    <row r="53" spans="2:10" ht="15" x14ac:dyDescent="0.3">
      <c r="B53" s="4"/>
      <c r="C53" s="4"/>
      <c r="D53" s="4"/>
      <c r="E53" s="4"/>
      <c r="F53" s="4"/>
      <c r="G53" s="4"/>
      <c r="H53" s="4"/>
      <c r="I53" s="4"/>
      <c r="J53" s="4"/>
    </row>
    <row r="54" spans="2:10" ht="15" x14ac:dyDescent="0.3">
      <c r="B54" s="4"/>
      <c r="C54" s="4"/>
      <c r="D54" s="4"/>
      <c r="E54" s="4"/>
      <c r="F54" s="4"/>
      <c r="G54" s="4"/>
      <c r="H54" s="4"/>
      <c r="I54" s="4"/>
      <c r="J54" s="4"/>
    </row>
    <row r="55" spans="2:10" ht="15" x14ac:dyDescent="0.3">
      <c r="B55" s="4"/>
      <c r="C55" s="4"/>
      <c r="D55" s="4"/>
      <c r="E55" s="4"/>
      <c r="F55" s="4"/>
      <c r="G55" s="4"/>
      <c r="H55" s="4"/>
      <c r="I55" s="4"/>
      <c r="J55" s="4"/>
    </row>
    <row r="56" spans="2:10" ht="15" x14ac:dyDescent="0.3">
      <c r="B56" s="4"/>
      <c r="C56" s="4"/>
      <c r="D56" s="4"/>
      <c r="E56" s="4"/>
      <c r="F56" s="4"/>
      <c r="G56" s="4"/>
      <c r="H56" s="4"/>
      <c r="I56" s="4"/>
      <c r="J56" s="4"/>
    </row>
    <row r="57" spans="2:10" ht="15" x14ac:dyDescent="0.3">
      <c r="B57" s="4"/>
      <c r="C57" s="4"/>
      <c r="D57" s="4"/>
      <c r="E57" s="4"/>
      <c r="F57" s="4"/>
      <c r="G57" s="4"/>
      <c r="H57" s="4"/>
      <c r="I57" s="4"/>
      <c r="J57" s="4"/>
    </row>
    <row r="58" spans="2:10" ht="15" x14ac:dyDescent="0.3">
      <c r="B58" s="4"/>
      <c r="C58" s="4"/>
      <c r="D58" s="4"/>
      <c r="E58" s="4"/>
      <c r="F58" s="4"/>
      <c r="G58" s="4"/>
      <c r="H58" s="4"/>
      <c r="I58" s="4"/>
      <c r="J58" s="4"/>
    </row>
    <row r="59" spans="2:10" ht="15" x14ac:dyDescent="0.3">
      <c r="B59" s="4"/>
      <c r="C59" s="4"/>
      <c r="D59" s="4"/>
      <c r="E59" s="4"/>
      <c r="F59" s="4"/>
      <c r="G59" s="4"/>
      <c r="H59" s="4"/>
      <c r="I59" s="4"/>
      <c r="J59" s="4"/>
    </row>
    <row r="60" spans="2:10" ht="15" x14ac:dyDescent="0.3">
      <c r="B60" s="4"/>
      <c r="C60" s="4"/>
      <c r="D60" s="4"/>
      <c r="E60" s="4"/>
      <c r="F60" s="4"/>
      <c r="G60" s="4"/>
      <c r="H60" s="4"/>
      <c r="I60" s="4"/>
      <c r="J60" s="4"/>
    </row>
    <row r="61" spans="2:10" ht="15" x14ac:dyDescent="0.3">
      <c r="B61" s="4"/>
      <c r="C61" s="4"/>
      <c r="D61" s="4"/>
      <c r="E61" s="4"/>
      <c r="F61" s="4"/>
      <c r="G61" s="4"/>
      <c r="H61" s="4"/>
      <c r="I61" s="4"/>
      <c r="J61" s="4"/>
    </row>
    <row r="62" spans="2:10" ht="15" x14ac:dyDescent="0.3">
      <c r="B62" s="4"/>
      <c r="C62" s="4"/>
      <c r="D62" s="4"/>
      <c r="E62" s="4"/>
      <c r="F62" s="4"/>
      <c r="G62" s="4"/>
      <c r="H62" s="4"/>
      <c r="I62" s="4"/>
      <c r="J62" s="4"/>
    </row>
    <row r="63" spans="2:10" ht="15" x14ac:dyDescent="0.3">
      <c r="B63" s="4"/>
      <c r="C63" s="4"/>
      <c r="D63" s="4"/>
      <c r="E63" s="4"/>
      <c r="F63" s="4"/>
      <c r="G63" s="4"/>
      <c r="H63" s="4"/>
      <c r="I63" s="4"/>
      <c r="J63" s="4"/>
    </row>
    <row r="64" spans="2:10" ht="15" x14ac:dyDescent="0.3">
      <c r="B64" s="4"/>
      <c r="C64" s="4"/>
      <c r="D64" s="4"/>
      <c r="E64" s="4"/>
      <c r="F64" s="4"/>
      <c r="G64" s="4"/>
      <c r="H64" s="4"/>
      <c r="I64" s="4"/>
      <c r="J64" s="4"/>
    </row>
    <row r="65" spans="2:10" ht="15" x14ac:dyDescent="0.3">
      <c r="B65" s="4"/>
      <c r="C65" s="4"/>
      <c r="D65" s="4"/>
      <c r="E65" s="4"/>
      <c r="F65" s="4"/>
      <c r="G65" s="4"/>
      <c r="H65" s="4"/>
      <c r="I65" s="4"/>
      <c r="J65" s="4"/>
    </row>
    <row r="66" spans="2:10" ht="15" x14ac:dyDescent="0.3">
      <c r="B66" s="4"/>
      <c r="C66" s="4"/>
      <c r="D66" s="4"/>
      <c r="E66" s="4"/>
      <c r="F66" s="4"/>
      <c r="G66" s="4"/>
      <c r="H66" s="4"/>
      <c r="I66" s="4"/>
      <c r="J66" s="4"/>
    </row>
    <row r="67" spans="2:10" ht="15" x14ac:dyDescent="0.3">
      <c r="B67" s="4"/>
      <c r="C67" s="4"/>
      <c r="D67" s="4"/>
      <c r="E67" s="4"/>
      <c r="F67" s="4"/>
      <c r="G67" s="4"/>
      <c r="H67" s="4"/>
      <c r="I67" s="4"/>
      <c r="J67" s="4"/>
    </row>
    <row r="68" spans="2:10" ht="15" x14ac:dyDescent="0.3">
      <c r="B68" s="4"/>
      <c r="C68" s="4"/>
      <c r="D68" s="4"/>
      <c r="E68" s="4"/>
      <c r="F68" s="4"/>
      <c r="G68" s="4"/>
      <c r="H68" s="4"/>
      <c r="I68" s="4"/>
      <c r="J68" s="4"/>
    </row>
    <row r="69" spans="2:10" ht="15" x14ac:dyDescent="0.3">
      <c r="B69" s="4"/>
      <c r="C69" s="4"/>
      <c r="D69" s="4"/>
      <c r="E69" s="4"/>
      <c r="F69" s="4"/>
      <c r="G69" s="4"/>
      <c r="H69" s="4"/>
      <c r="I69" s="4"/>
      <c r="J69" s="4"/>
    </row>
    <row r="70" spans="2:10" ht="15" x14ac:dyDescent="0.3">
      <c r="B70" s="4"/>
      <c r="C70" s="4"/>
      <c r="D70" s="4"/>
      <c r="E70" s="4"/>
      <c r="F70" s="4"/>
      <c r="G70" s="4"/>
      <c r="H70" s="4"/>
      <c r="I70" s="4"/>
      <c r="J70" s="4"/>
    </row>
    <row r="71" spans="2:10" ht="15" x14ac:dyDescent="0.3">
      <c r="B71" s="4"/>
      <c r="C71" s="4"/>
      <c r="D71" s="4"/>
      <c r="E71" s="4"/>
      <c r="F71" s="4"/>
      <c r="G71" s="4"/>
      <c r="H71" s="4"/>
      <c r="I71" s="4"/>
      <c r="J71" s="4"/>
    </row>
    <row r="72" spans="2:10" ht="15" x14ac:dyDescent="0.3">
      <c r="B72" s="4"/>
      <c r="C72" s="4"/>
      <c r="D72" s="4"/>
      <c r="E72" s="4"/>
      <c r="F72" s="4"/>
      <c r="G72" s="4"/>
      <c r="H72" s="4"/>
      <c r="I72" s="4"/>
      <c r="J72" s="4"/>
    </row>
    <row r="73" spans="2:10" ht="15" x14ac:dyDescent="0.3">
      <c r="B73" s="4"/>
      <c r="C73" s="4"/>
      <c r="D73" s="4"/>
      <c r="E73" s="4"/>
      <c r="F73" s="4"/>
      <c r="G73" s="4"/>
      <c r="H73" s="4"/>
      <c r="I73" s="4"/>
      <c r="J73" s="4"/>
    </row>
    <row r="74" spans="2:10" ht="15" x14ac:dyDescent="0.3">
      <c r="B74" s="4"/>
      <c r="C74" s="4"/>
      <c r="D74" s="4"/>
      <c r="E74" s="4"/>
      <c r="F74" s="4"/>
      <c r="G74" s="4"/>
      <c r="H74" s="4"/>
      <c r="I74" s="4"/>
      <c r="J74" s="4"/>
    </row>
    <row r="75" spans="2:10" ht="15" x14ac:dyDescent="0.3">
      <c r="B75" s="4"/>
      <c r="C75" s="4"/>
      <c r="D75" s="4"/>
      <c r="E75" s="4"/>
      <c r="F75" s="4"/>
      <c r="G75" s="4"/>
      <c r="H75" s="4"/>
      <c r="I75" s="4"/>
      <c r="J75" s="4"/>
    </row>
    <row r="76" spans="2:10" ht="15" x14ac:dyDescent="0.3">
      <c r="B76" s="4"/>
      <c r="C76" s="4"/>
      <c r="D76" s="4"/>
      <c r="E76" s="4"/>
      <c r="F76" s="4"/>
      <c r="G76" s="4"/>
      <c r="H76" s="4"/>
      <c r="I76" s="4"/>
      <c r="J76" s="4"/>
    </row>
    <row r="77" spans="2:10" ht="15" x14ac:dyDescent="0.3">
      <c r="B77" s="4"/>
      <c r="C77" s="4"/>
      <c r="D77" s="4"/>
      <c r="E77" s="4"/>
      <c r="F77" s="4"/>
      <c r="G77" s="4"/>
      <c r="H77" s="4"/>
      <c r="I77" s="4"/>
      <c r="J77" s="4"/>
    </row>
    <row r="78" spans="2:10" ht="15" x14ac:dyDescent="0.3">
      <c r="B78" s="4"/>
      <c r="C78" s="4"/>
      <c r="D78" s="4"/>
      <c r="E78" s="4"/>
      <c r="F78" s="4"/>
      <c r="G78" s="4"/>
      <c r="H78" s="4"/>
      <c r="I78" s="4"/>
      <c r="J78" s="4"/>
    </row>
    <row r="79" spans="2:10" ht="15" x14ac:dyDescent="0.3">
      <c r="B79" s="4"/>
      <c r="C79" s="4"/>
      <c r="D79" s="4"/>
      <c r="E79" s="4"/>
      <c r="F79" s="4"/>
      <c r="G79" s="4"/>
      <c r="H79" s="4"/>
      <c r="I79" s="4"/>
      <c r="J79" s="4"/>
    </row>
    <row r="80" spans="2:10" ht="15" x14ac:dyDescent="0.3">
      <c r="B80" s="4"/>
      <c r="C80" s="4"/>
      <c r="D80" s="4"/>
      <c r="E80" s="4"/>
      <c r="F80" s="4"/>
      <c r="G80" s="4"/>
      <c r="H80" s="4"/>
      <c r="I80" s="4"/>
      <c r="J80" s="4"/>
    </row>
    <row r="81" spans="2:10" ht="15" x14ac:dyDescent="0.3">
      <c r="B81" s="4"/>
      <c r="C81" s="4"/>
      <c r="D81" s="4"/>
      <c r="E81" s="4"/>
      <c r="F81" s="4"/>
      <c r="G81" s="4"/>
      <c r="H81" s="4"/>
      <c r="I81" s="4"/>
      <c r="J81" s="4"/>
    </row>
    <row r="82" spans="2:10" ht="15" x14ac:dyDescent="0.3">
      <c r="B82" s="4"/>
      <c r="C82" s="4"/>
      <c r="D82" s="4"/>
      <c r="E82" s="4"/>
      <c r="F82" s="4"/>
      <c r="G82" s="4"/>
      <c r="H82" s="4"/>
      <c r="I82" s="4"/>
      <c r="J82" s="4"/>
    </row>
    <row r="83" spans="2:10" ht="15" x14ac:dyDescent="0.3">
      <c r="B83" s="4"/>
      <c r="C83" s="4"/>
      <c r="D83" s="4"/>
      <c r="E83" s="4"/>
      <c r="F83" s="4"/>
      <c r="G83" s="4"/>
      <c r="H83" s="4"/>
      <c r="I83" s="4"/>
      <c r="J83" s="4"/>
    </row>
    <row r="84" spans="2:10" ht="15" x14ac:dyDescent="0.3">
      <c r="B84" s="4"/>
      <c r="C84" s="4"/>
      <c r="D84" s="4"/>
      <c r="E84" s="4"/>
      <c r="F84" s="4"/>
      <c r="G84" s="4"/>
      <c r="H84" s="4"/>
      <c r="I84" s="4"/>
      <c r="J84" s="4"/>
    </row>
    <row r="85" spans="2:10" ht="15" x14ac:dyDescent="0.3">
      <c r="B85" s="4"/>
      <c r="C85" s="4"/>
      <c r="D85" s="4"/>
      <c r="E85" s="4"/>
      <c r="F85" s="4"/>
      <c r="G85" s="4"/>
      <c r="H85" s="4"/>
      <c r="I85" s="4"/>
      <c r="J85" s="4"/>
    </row>
    <row r="86" spans="2:10" ht="15" x14ac:dyDescent="0.3">
      <c r="B86" s="4"/>
      <c r="C86" s="4"/>
      <c r="D86" s="4"/>
      <c r="E86" s="4"/>
      <c r="F86" s="4"/>
      <c r="G86" s="4"/>
      <c r="H86" s="4"/>
      <c r="I86" s="4"/>
      <c r="J86" s="4"/>
    </row>
    <row r="87" spans="2:10" ht="15" x14ac:dyDescent="0.3">
      <c r="B87" s="4"/>
      <c r="C87" s="4"/>
      <c r="D87" s="4"/>
      <c r="E87" s="4"/>
      <c r="F87" s="4"/>
      <c r="G87" s="4"/>
      <c r="H87" s="4"/>
      <c r="I87" s="4"/>
      <c r="J87" s="4"/>
    </row>
    <row r="88" spans="2:10" ht="15" x14ac:dyDescent="0.3">
      <c r="B88" s="4"/>
      <c r="C88" s="4"/>
      <c r="D88" s="4"/>
      <c r="E88" s="4"/>
      <c r="F88" s="4"/>
      <c r="G88" s="4"/>
      <c r="H88" s="4"/>
      <c r="I88" s="4"/>
      <c r="J88" s="4"/>
    </row>
    <row r="89" spans="2:10" ht="15" x14ac:dyDescent="0.3">
      <c r="B89" s="4"/>
      <c r="C89" s="4"/>
      <c r="D89" s="4"/>
      <c r="E89" s="4"/>
      <c r="F89" s="4"/>
      <c r="G89" s="4"/>
      <c r="H89" s="4"/>
      <c r="I89" s="4"/>
      <c r="J89" s="4"/>
    </row>
    <row r="90" spans="2:10" ht="15" x14ac:dyDescent="0.3">
      <c r="B90" s="4"/>
      <c r="C90" s="4"/>
      <c r="D90" s="4"/>
      <c r="E90" s="4"/>
      <c r="F90" s="4"/>
      <c r="G90" s="4"/>
      <c r="H90" s="4"/>
      <c r="I90" s="4"/>
      <c r="J90" s="4"/>
    </row>
    <row r="91" spans="2:10" ht="15" x14ac:dyDescent="0.3">
      <c r="B91" s="4"/>
      <c r="C91" s="4"/>
      <c r="D91" s="4"/>
      <c r="E91" s="4"/>
      <c r="F91" s="4"/>
      <c r="G91" s="4"/>
      <c r="H91" s="4"/>
      <c r="I91" s="4"/>
      <c r="J91" s="4"/>
    </row>
  </sheetData>
  <mergeCells count="28">
    <mergeCell ref="B1:J2"/>
    <mergeCell ref="G8:H8"/>
    <mergeCell ref="B11:F11"/>
    <mergeCell ref="B12:F12"/>
    <mergeCell ref="B13:F13"/>
    <mergeCell ref="I20:I21"/>
    <mergeCell ref="J20:J21"/>
    <mergeCell ref="D22:E22"/>
    <mergeCell ref="B23:B28"/>
    <mergeCell ref="B14:F14"/>
    <mergeCell ref="B15:F15"/>
    <mergeCell ref="B16:F16"/>
    <mergeCell ref="G18:J18"/>
    <mergeCell ref="C19:E19"/>
    <mergeCell ref="H19:J19"/>
    <mergeCell ref="B17:F18"/>
    <mergeCell ref="B20:B21"/>
    <mergeCell ref="C20:C21"/>
    <mergeCell ref="D20:E21"/>
    <mergeCell ref="D25:E25"/>
    <mergeCell ref="C28:H28"/>
    <mergeCell ref="H20:H21"/>
    <mergeCell ref="D26:E26"/>
    <mergeCell ref="D23:E23"/>
    <mergeCell ref="D27:E27"/>
    <mergeCell ref="F20:F21"/>
    <mergeCell ref="G20:G21"/>
    <mergeCell ref="D24:E24"/>
  </mergeCells>
  <phoneticPr fontId="2" type="noConversion"/>
  <printOptions horizontalCentered="1"/>
  <pageMargins left="0.70866141732283472" right="0.70866141732283472" top="0.94488188976377963" bottom="0.74803149606299213" header="0.31496062992125984" footer="0.31496062992125984"/>
  <pageSetup paperSize="9" scale="90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Invoice</vt:lpstr>
      <vt:lpstr>Packing List</vt:lpstr>
      <vt:lpstr>Invoice!Print_Area</vt:lpstr>
      <vt:lpstr>'Packing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이진호</dc:creator>
  <cp:lastModifiedBy>허윤아</cp:lastModifiedBy>
  <cp:lastPrinted>2025-12-17T03:29:20Z</cp:lastPrinted>
  <dcterms:created xsi:type="dcterms:W3CDTF">2013-10-23T08:04:15Z</dcterms:created>
  <dcterms:modified xsi:type="dcterms:W3CDTF">2026-05-19T23:43:37Z</dcterms:modified>
</cp:coreProperties>
</file>