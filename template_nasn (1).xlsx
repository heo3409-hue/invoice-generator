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1" autoFilterDateGrouping="1"/>
  </bookViews>
  <sheets>
    <sheet xmlns:r="http://schemas.openxmlformats.org/officeDocument/2006/relationships" name="INVOICE " sheetId="1" state="visible" r:id="rId1"/>
    <sheet xmlns:r="http://schemas.openxmlformats.org/officeDocument/2006/relationships" name="Packing list" sheetId="2" state="visible" r:id="rId2"/>
  </sheets>
  <definedNames>
    <definedName name="_xlnm.Print_Area" localSheetId="0">'INVOICE '!$A$1:$I$44</definedName>
    <definedName name="_xlnm.Print_Area" localSheetId="1">'Packing list'!$A$1:$I$38</definedName>
  </definedNames>
  <calcPr calcId="191029" fullCalcOnLoad="1"/>
</workbook>
</file>

<file path=xl/styles.xml><?xml version="1.0" encoding="utf-8"?>
<styleSheet xmlns="http://schemas.openxmlformats.org/spreadsheetml/2006/main">
  <numFmts count="9">
    <numFmt numFmtId="164" formatCode="_-* #,##0_-;\-* #,##0_-;_-* &quot;-&quot;_-;_-@_-"/>
    <numFmt numFmtId="165" formatCode="_-* #,##0.00_-;\-* #,##0.00_-;_-* &quot;-&quot;_-;_-@_-"/>
    <numFmt numFmtId="166" formatCode="_-&quot;₩&quot;* #,##0_-;\-&quot;₩&quot;* #,##0_-;_-&quot;₩&quot;* &quot;-&quot;_-;_-@_-"/>
    <numFmt numFmtId="167" formatCode="#,##0_);[Red]\(#,##0\)"/>
    <numFmt numFmtId="168" formatCode="_-* #,##0.00_-;\-* #,##0.00_-;_-* &quot;-&quot;??_-;_-@_-"/>
    <numFmt numFmtId="169" formatCode="#,##0_ "/>
    <numFmt numFmtId="170" formatCode="\$#,##0.00"/>
    <numFmt numFmtId="171" formatCode="#,##0.0_);[Red]\(#,##0.0\)"/>
    <numFmt numFmtId="172" formatCode="_-* #,##0.000_-;\-* #,##0.000_-;_-* &quot;-&quot;_-;_-@_-"/>
  </numFmts>
  <fonts count="20">
    <font>
      <name val="돋움"/>
      <charset val="129"/>
      <family val="3"/>
      <sz val="11"/>
    </font>
    <font>
      <name val="돋움"/>
      <charset val="129"/>
      <family val="3"/>
      <sz val="11"/>
    </font>
    <font>
      <name val="돋움"/>
      <charset val="129"/>
      <family val="3"/>
      <sz val="8"/>
    </font>
    <font>
      <name val="Garamond"/>
      <family val="1"/>
      <sz val="10"/>
    </font>
    <font>
      <name val="Garamond"/>
      <family val="1"/>
      <sz val="11"/>
    </font>
    <font>
      <name val="굴림"/>
      <charset val="129"/>
      <family val="3"/>
      <b val="1"/>
      <sz val="20"/>
    </font>
    <font>
      <name val="굴림"/>
      <charset val="129"/>
      <family val="3"/>
      <b val="1"/>
      <sz val="10"/>
    </font>
    <font>
      <name val="굴림"/>
      <charset val="129"/>
      <family val="3"/>
      <sz val="10"/>
    </font>
    <font>
      <name val="굴림"/>
      <charset val="129"/>
      <family val="3"/>
      <sz val="11"/>
    </font>
    <font>
      <name val="굴림"/>
      <charset val="129"/>
      <family val="3"/>
      <b val="1"/>
      <sz val="11"/>
    </font>
    <font>
      <name val="굴림"/>
      <charset val="129"/>
      <family val="3"/>
      <b val="1"/>
      <sz val="12"/>
    </font>
    <font>
      <name val="굴림"/>
      <charset val="129"/>
      <family val="3"/>
      <color theme="1"/>
      <sz val="10"/>
    </font>
    <font>
      <name val="굴림"/>
      <charset val="129"/>
      <family val="3"/>
      <color rgb="FFFF0000"/>
      <sz val="10"/>
    </font>
    <font>
      <name val="맑은 고딕 Semilight"/>
      <charset val="129"/>
      <family val="3"/>
      <sz val="10"/>
    </font>
    <font>
      <name val="굴림"/>
      <charset val="129"/>
      <family val="3"/>
      <b val="1"/>
      <color rgb="FFFF0000"/>
      <sz val="10"/>
    </font>
    <font>
      <name val="굴림"/>
      <charset val="129"/>
      <family val="3"/>
      <b val="1"/>
      <color rgb="FFFF0000"/>
      <sz val="11"/>
    </font>
    <font>
      <name val="굴림"/>
      <charset val="129"/>
      <family val="3"/>
      <b val="1"/>
      <color rgb="FF0000FF"/>
      <sz val="10"/>
    </font>
    <font>
      <name val="굴림"/>
      <charset val="129"/>
      <family val="3"/>
      <b val="1"/>
      <color rgb="FF0000FF"/>
      <sz val="11"/>
    </font>
    <font>
      <name val="돋움"/>
      <charset val="129"/>
      <family val="3"/>
      <sz val="12"/>
    </font>
    <font>
      <name val="굴림"/>
      <charset val="129"/>
      <family val="3"/>
      <sz val="9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63">
    <border>
      <left/>
      <right/>
      <top/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double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double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/>
      <top style="dotted">
        <color indexed="64"/>
      </top>
      <bottom style="dotted">
        <color indexed="64"/>
      </bottom>
      <diagonal/>
    </border>
    <border>
      <left/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/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 style="double">
        <color indexed="64"/>
      </right>
      <top/>
      <bottom style="dotted">
        <color indexed="64"/>
      </bottom>
      <diagonal/>
    </border>
    <border>
      <left style="thin">
        <color indexed="64"/>
      </left>
      <right style="double">
        <color indexed="64"/>
      </right>
      <top style="dotted">
        <color indexed="64"/>
      </top>
      <bottom style="hair">
        <color indexed="64"/>
      </bottom>
      <diagonal/>
    </border>
    <border>
      <left style="thin">
        <color indexed="64"/>
      </left>
      <right style="double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/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dotted">
        <color indexed="64"/>
      </top>
      <bottom/>
      <diagonal/>
    </border>
    <border>
      <left/>
      <right style="thin">
        <color indexed="64"/>
      </right>
      <top style="dotted">
        <color indexed="64"/>
      </top>
      <bottom/>
      <diagonal/>
    </border>
  </borders>
  <cellStyleXfs count="3">
    <xf numFmtId="0" fontId="1" fillId="0" borderId="0"/>
    <xf numFmtId="41" fontId="1" fillId="0" borderId="0"/>
    <xf numFmtId="42" fontId="1" fillId="0" borderId="0" applyAlignment="1">
      <alignment vertical="center"/>
    </xf>
  </cellStyleXfs>
  <cellXfs count="302">
    <xf numFmtId="0" fontId="0" fillId="0" borderId="0" pivotButton="0" quotePrefix="0" xfId="0"/>
    <xf numFmtId="0" fontId="0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4" fillId="0" borderId="0" pivotButton="0" quotePrefix="0" xfId="0"/>
    <xf numFmtId="0" fontId="6" fillId="0" borderId="1" applyAlignment="1" pivotButton="0" quotePrefix="0" xfId="0">
      <alignment vertical="center"/>
    </xf>
    <xf numFmtId="0" fontId="7" fillId="0" borderId="2" applyAlignment="1" pivotButton="0" quotePrefix="0" xfId="0">
      <alignment vertical="center"/>
    </xf>
    <xf numFmtId="0" fontId="7" fillId="0" borderId="3" applyAlignment="1" pivotButton="0" quotePrefix="0" xfId="0">
      <alignment vertical="center"/>
    </xf>
    <xf numFmtId="0" fontId="7" fillId="0" borderId="7" applyAlignment="1" pivotButton="0" quotePrefix="0" xfId="0">
      <alignment horizontal="left" vertical="center"/>
    </xf>
    <xf numFmtId="0" fontId="7" fillId="0" borderId="0" applyAlignment="1" pivotButton="0" quotePrefix="0" xfId="0">
      <alignment horizontal="left" vertical="center"/>
    </xf>
    <xf numFmtId="0" fontId="7" fillId="0" borderId="8" applyAlignment="1" pivotButton="0" quotePrefix="0" xfId="0">
      <alignment horizontal="left" vertical="center"/>
    </xf>
    <xf numFmtId="0" fontId="7" fillId="0" borderId="7" applyAlignment="1" pivotButton="0" quotePrefix="0" xfId="0">
      <alignment vertical="center"/>
    </xf>
    <xf numFmtId="0" fontId="7" fillId="0" borderId="0" applyAlignment="1" pivotButton="0" quotePrefix="0" xfId="0">
      <alignment vertical="center"/>
    </xf>
    <xf numFmtId="0" fontId="7" fillId="0" borderId="8" applyAlignment="1" pivotButton="0" quotePrefix="0" xfId="0">
      <alignment vertical="center"/>
    </xf>
    <xf numFmtId="0" fontId="7" fillId="0" borderId="4" applyAlignment="1" pivotButton="0" quotePrefix="0" xfId="0">
      <alignment vertical="center"/>
    </xf>
    <xf numFmtId="0" fontId="7" fillId="0" borderId="5" applyAlignment="1" pivotButton="0" quotePrefix="0" xfId="0">
      <alignment vertical="center"/>
    </xf>
    <xf numFmtId="0" fontId="7" fillId="0" borderId="6" applyAlignment="1" pivotButton="0" quotePrefix="0" xfId="0">
      <alignment vertical="center"/>
    </xf>
    <xf numFmtId="0" fontId="6" fillId="0" borderId="7" applyAlignment="1" pivotButton="0" quotePrefix="0" xfId="0">
      <alignment vertical="center"/>
    </xf>
    <xf numFmtId="0" fontId="6" fillId="0" borderId="2" applyAlignment="1" pivotButton="0" quotePrefix="0" xfId="0">
      <alignment vertical="center"/>
    </xf>
    <xf numFmtId="0" fontId="6" fillId="0" borderId="10" applyAlignment="1" pivotButton="0" quotePrefix="0" xfId="0">
      <alignment vertical="center"/>
    </xf>
    <xf numFmtId="0" fontId="7" fillId="0" borderId="11" applyAlignment="1" pivotButton="0" quotePrefix="0" xfId="0">
      <alignment vertical="center"/>
    </xf>
    <xf numFmtId="0" fontId="7" fillId="0" borderId="12" applyAlignment="1" pivotButton="0" quotePrefix="0" xfId="0">
      <alignment vertical="center"/>
    </xf>
    <xf numFmtId="164" fontId="7" fillId="0" borderId="12" applyAlignment="1" pivotButton="0" quotePrefix="0" xfId="1">
      <alignment vertical="center"/>
    </xf>
    <xf numFmtId="164" fontId="7" fillId="0" borderId="15" applyAlignment="1" pivotButton="0" quotePrefix="0" xfId="1">
      <alignment vertical="center"/>
    </xf>
    <xf numFmtId="0" fontId="6" fillId="0" borderId="7" applyAlignment="1" pivotButton="0" quotePrefix="0" xfId="0">
      <alignment horizontal="center" vertical="center"/>
    </xf>
    <xf numFmtId="0" fontId="7" fillId="0" borderId="20" applyAlignment="1" pivotButton="0" quotePrefix="0" xfId="0">
      <alignment horizontal="center" vertical="center"/>
    </xf>
    <xf numFmtId="165" fontId="7" fillId="0" borderId="20" applyAlignment="1" pivotButton="0" quotePrefix="0" xfId="1">
      <alignment vertical="center"/>
    </xf>
    <xf numFmtId="165" fontId="7" fillId="0" borderId="23" applyAlignment="1" pivotButton="0" quotePrefix="0" xfId="1">
      <alignment horizontal="center" vertical="center"/>
    </xf>
    <xf numFmtId="0" fontId="7" fillId="0" borderId="20" applyAlignment="1" pivotButton="0" quotePrefix="0" xfId="0">
      <alignment vertical="center"/>
    </xf>
    <xf numFmtId="0" fontId="7" fillId="0" borderId="23" applyAlignment="1" pivotButton="0" quotePrefix="0" xfId="0">
      <alignment vertical="center"/>
    </xf>
    <xf numFmtId="0" fontId="6" fillId="0" borderId="0" applyAlignment="1" pivotButton="0" quotePrefix="0" xfId="0">
      <alignment horizontal="left" vertical="center"/>
    </xf>
    <xf numFmtId="0" fontId="6" fillId="0" borderId="0" applyAlignment="1" pivotButton="0" quotePrefix="0" xfId="0">
      <alignment vertical="center"/>
    </xf>
    <xf numFmtId="0" fontId="8" fillId="0" borderId="0" applyAlignment="1" pivotButton="0" quotePrefix="0" xfId="0">
      <alignment vertical="center" shrinkToFit="1"/>
    </xf>
    <xf numFmtId="0" fontId="9" fillId="0" borderId="0" applyAlignment="1" pivotButton="0" quotePrefix="0" xfId="0">
      <alignment vertical="center"/>
    </xf>
    <xf numFmtId="0" fontId="9" fillId="0" borderId="8" applyAlignment="1" pivotButton="0" quotePrefix="0" xfId="0">
      <alignment vertical="center"/>
    </xf>
    <xf numFmtId="0" fontId="10" fillId="0" borderId="0" applyAlignment="1" pivotButton="0" quotePrefix="0" xfId="0">
      <alignment vertical="center"/>
    </xf>
    <xf numFmtId="0" fontId="8" fillId="0" borderId="0" applyAlignment="1" pivotButton="0" quotePrefix="0" xfId="0">
      <alignment vertical="center"/>
    </xf>
    <xf numFmtId="0" fontId="9" fillId="0" borderId="24" applyAlignment="1" pivotButton="0" quotePrefix="0" xfId="0">
      <alignment vertical="center"/>
    </xf>
    <xf numFmtId="0" fontId="6" fillId="0" borderId="4" applyAlignment="1" pivotButton="0" quotePrefix="0" xfId="0">
      <alignment vertical="center"/>
    </xf>
    <xf numFmtId="0" fontId="6" fillId="0" borderId="5" applyAlignment="1" pivotButton="0" quotePrefix="0" xfId="0">
      <alignment vertical="center"/>
    </xf>
    <xf numFmtId="0" fontId="8" fillId="0" borderId="5" applyAlignment="1" pivotButton="0" quotePrefix="0" xfId="0">
      <alignment vertical="center"/>
    </xf>
    <xf numFmtId="0" fontId="9" fillId="0" borderId="5" applyAlignment="1" pivotButton="0" quotePrefix="0" xfId="0">
      <alignment vertical="center"/>
    </xf>
    <xf numFmtId="0" fontId="9" fillId="0" borderId="6" applyAlignment="1" pivotButton="0" quotePrefix="0" xfId="0">
      <alignment vertical="center"/>
    </xf>
    <xf numFmtId="0" fontId="6" fillId="0" borderId="14" applyAlignment="1" pivotButton="0" quotePrefix="0" xfId="0">
      <alignment vertical="center"/>
    </xf>
    <xf numFmtId="165" fontId="7" fillId="0" borderId="23" applyAlignment="1" pivotButton="0" quotePrefix="1" xfId="1">
      <alignment horizontal="right" vertical="center"/>
    </xf>
    <xf numFmtId="166" fontId="7" fillId="0" borderId="20" applyAlignment="1" pivotButton="0" quotePrefix="1" xfId="2">
      <alignment horizontal="right" vertical="center"/>
    </xf>
    <xf numFmtId="0" fontId="7" fillId="2" borderId="7" applyAlignment="1" pivotButton="0" quotePrefix="0" xfId="0">
      <alignment vertical="center"/>
    </xf>
    <xf numFmtId="0" fontId="12" fillId="2" borderId="5" applyAlignment="1" pivotButton="0" quotePrefix="0" xfId="0">
      <alignment vertical="center"/>
    </xf>
    <xf numFmtId="0" fontId="12" fillId="2" borderId="0" applyAlignment="1" pivotButton="0" quotePrefix="0" xfId="0">
      <alignment vertical="center"/>
    </xf>
    <xf numFmtId="0" fontId="12" fillId="2" borderId="8" applyAlignment="1" pivotButton="0" quotePrefix="0" xfId="0">
      <alignment vertical="center"/>
    </xf>
    <xf numFmtId="167" fontId="7" fillId="0" borderId="20" applyAlignment="1" pivotButton="0" quotePrefix="0" xfId="1">
      <alignment vertical="center"/>
    </xf>
    <xf numFmtId="167" fontId="7" fillId="0" borderId="25" applyAlignment="1" pivotButton="0" quotePrefix="0" xfId="1">
      <alignment horizontal="center" vertical="center" shrinkToFit="1"/>
    </xf>
    <xf numFmtId="167" fontId="7" fillId="2" borderId="25" applyAlignment="1" pivotButton="0" quotePrefix="0" xfId="0">
      <alignment horizontal="right" vertical="center"/>
    </xf>
    <xf numFmtId="167" fontId="7" fillId="0" borderId="25" applyAlignment="1" pivotButton="0" quotePrefix="0" xfId="1">
      <alignment horizontal="right" vertical="center"/>
    </xf>
    <xf numFmtId="0" fontId="12" fillId="0" borderId="7" applyAlignment="1" pivotButton="0" quotePrefix="0" xfId="0">
      <alignment horizontal="center" vertical="center"/>
    </xf>
    <xf numFmtId="0" fontId="15" fillId="2" borderId="3" applyAlignment="1" pivotButton="0" quotePrefix="0" xfId="0">
      <alignment vertical="center" shrinkToFit="1"/>
    </xf>
    <xf numFmtId="165" fontId="7" fillId="0" borderId="23" applyAlignment="1" pivotButton="0" quotePrefix="0" xfId="1">
      <alignment horizontal="right" vertical="center"/>
    </xf>
    <xf numFmtId="168" fontId="0" fillId="0" borderId="0" applyAlignment="1" pivotButton="0" quotePrefix="0" xfId="0">
      <alignment vertical="center"/>
    </xf>
    <xf numFmtId="167" fontId="7" fillId="0" borderId="28" applyAlignment="1" pivotButton="0" quotePrefix="0" xfId="0">
      <alignment horizontal="right" vertical="center"/>
    </xf>
    <xf numFmtId="169" fontId="7" fillId="0" borderId="20" applyAlignment="1" pivotButton="0" quotePrefix="0" xfId="0">
      <alignment horizontal="center" vertical="center"/>
    </xf>
    <xf numFmtId="0" fontId="7" fillId="0" borderId="7" applyAlignment="1" pivotButton="0" quotePrefix="0" xfId="0">
      <alignment horizontal="center" vertical="center"/>
    </xf>
    <xf numFmtId="0" fontId="7" fillId="0" borderId="30" applyAlignment="1" pivotButton="0" quotePrefix="0" xfId="1">
      <alignment horizontal="center" vertical="center"/>
    </xf>
    <xf numFmtId="0" fontId="7" fillId="0" borderId="22" applyAlignment="1" pivotButton="0" quotePrefix="0" xfId="1">
      <alignment horizontal="center" vertical="center"/>
    </xf>
    <xf numFmtId="0" fontId="7" fillId="0" borderId="22" applyAlignment="1" pivotButton="0" quotePrefix="0" xfId="1">
      <alignment horizontal="center" vertical="center"/>
    </xf>
    <xf numFmtId="0" fontId="6" fillId="0" borderId="22" applyAlignment="1" pivotButton="0" quotePrefix="0" xfId="1">
      <alignment vertical="center" shrinkToFit="1"/>
    </xf>
    <xf numFmtId="167" fontId="7" fillId="0" borderId="34" applyAlignment="1" pivotButton="0" quotePrefix="0" xfId="0">
      <alignment horizontal="center" vertical="center"/>
    </xf>
    <xf numFmtId="167" fontId="7" fillId="0" borderId="38" applyAlignment="1" pivotButton="0" quotePrefix="0" xfId="1">
      <alignment horizontal="center" vertical="center" shrinkToFit="1"/>
    </xf>
    <xf numFmtId="167" fontId="7" fillId="0" borderId="40" applyAlignment="1" pivotButton="0" quotePrefix="0" xfId="0">
      <alignment horizontal="center" vertical="center"/>
    </xf>
    <xf numFmtId="167" fontId="7" fillId="0" borderId="40" applyAlignment="1" pivotButton="0" quotePrefix="0" xfId="1">
      <alignment horizontal="right" vertical="center"/>
    </xf>
    <xf numFmtId="167" fontId="7" fillId="0" borderId="38" applyAlignment="1" pivotButton="0" quotePrefix="0" xfId="1">
      <alignment vertical="center"/>
    </xf>
    <xf numFmtId="0" fontId="7" fillId="0" borderId="37" applyAlignment="1" pivotButton="0" quotePrefix="0" xfId="0">
      <alignment horizontal="center" vertical="center"/>
    </xf>
    <xf numFmtId="167" fontId="7" fillId="0" borderId="41" applyAlignment="1" pivotButton="0" quotePrefix="0" xfId="1">
      <alignment horizontal="right" vertical="center"/>
    </xf>
    <xf numFmtId="0" fontId="7" fillId="0" borderId="35" applyAlignment="1" pivotButton="0" quotePrefix="0" xfId="0">
      <alignment horizontal="center" vertical="center" wrapText="1" shrinkToFit="1"/>
    </xf>
    <xf numFmtId="167" fontId="7" fillId="0" borderId="30" applyAlignment="1" pivotButton="0" quotePrefix="1" xfId="2">
      <alignment horizontal="center" vertical="center" wrapText="1"/>
    </xf>
    <xf numFmtId="0" fontId="7" fillId="0" borderId="31" applyAlignment="1" pivotButton="0" quotePrefix="0" xfId="1">
      <alignment horizontal="center" vertical="center"/>
    </xf>
    <xf numFmtId="167" fontId="7" fillId="0" borderId="31" applyAlignment="1" pivotButton="0" quotePrefix="0" xfId="1">
      <alignment vertical="center"/>
    </xf>
    <xf numFmtId="169" fontId="7" fillId="2" borderId="20" applyAlignment="1" pivotButton="0" quotePrefix="0" xfId="0">
      <alignment horizontal="center" vertical="center"/>
    </xf>
    <xf numFmtId="170" fontId="6" fillId="0" borderId="23" applyAlignment="1" pivotButton="0" quotePrefix="0" xfId="1">
      <alignment horizontal="center" vertical="center"/>
    </xf>
    <xf numFmtId="167" fontId="7" fillId="0" borderId="35" applyAlignment="1" pivotButton="0" quotePrefix="0" xfId="0">
      <alignment horizontal="center" vertical="center"/>
    </xf>
    <xf numFmtId="171" fontId="7" fillId="0" borderId="40" applyAlignment="1" pivotButton="0" quotePrefix="0" xfId="0">
      <alignment horizontal="right" vertical="center"/>
    </xf>
    <xf numFmtId="164" fontId="7" fillId="0" borderId="45" applyAlignment="1" pivotButton="0" quotePrefix="0" xfId="1">
      <alignment vertical="center"/>
    </xf>
    <xf numFmtId="164" fontId="7" fillId="0" borderId="46" applyAlignment="1" pivotButton="0" quotePrefix="0" xfId="1">
      <alignment vertical="center"/>
    </xf>
    <xf numFmtId="0" fontId="7" fillId="0" borderId="0" applyAlignment="1" pivotButton="0" quotePrefix="0" xfId="0">
      <alignment horizontal="center" vertical="center"/>
    </xf>
    <xf numFmtId="165" fontId="7" fillId="0" borderId="47" applyAlignment="1" pivotButton="0" quotePrefix="0" xfId="1">
      <alignment horizontal="center" vertical="center"/>
    </xf>
    <xf numFmtId="165" fontId="7" fillId="0" borderId="48" applyAlignment="1" pivotButton="0" quotePrefix="0" xfId="1">
      <alignment horizontal="center" vertical="center"/>
    </xf>
    <xf numFmtId="165" fontId="7" fillId="0" borderId="49" applyAlignment="1" pivotButton="0" quotePrefix="1" xfId="1">
      <alignment horizontal="center" vertical="center"/>
    </xf>
    <xf numFmtId="172" fontId="7" fillId="0" borderId="51" applyAlignment="1" pivotButton="0" quotePrefix="0" xfId="1">
      <alignment horizontal="center" vertical="center"/>
    </xf>
    <xf numFmtId="0" fontId="0" fillId="0" borderId="7" applyAlignment="1" pivotButton="0" quotePrefix="0" xfId="0">
      <alignment vertical="center"/>
    </xf>
    <xf numFmtId="0" fontId="0" fillId="0" borderId="8" applyAlignment="1" pivotButton="0" quotePrefix="0" xfId="0">
      <alignment vertical="center"/>
    </xf>
    <xf numFmtId="172" fontId="7" fillId="0" borderId="20" applyAlignment="1" pivotButton="0" quotePrefix="0" xfId="1">
      <alignment vertical="center"/>
    </xf>
    <xf numFmtId="164" fontId="11" fillId="0" borderId="33" applyAlignment="1" pivotButton="0" quotePrefix="0" xfId="1">
      <alignment vertical="center" shrinkToFit="1"/>
    </xf>
    <xf numFmtId="0" fontId="18" fillId="0" borderId="0" applyAlignment="1" pivotButton="0" quotePrefix="0" xfId="0">
      <alignment vertical="center"/>
    </xf>
    <xf numFmtId="0" fontId="6" fillId="0" borderId="22" applyAlignment="1" pivotButton="0" quotePrefix="0" xfId="0">
      <alignment horizontal="left" vertical="center"/>
    </xf>
    <xf numFmtId="0" fontId="10" fillId="0" borderId="52" applyAlignment="1" pivotButton="0" quotePrefix="0" xfId="0">
      <alignment horizontal="right" vertical="center" shrinkToFit="1"/>
    </xf>
    <xf numFmtId="164" fontId="10" fillId="0" borderId="53" applyAlignment="1" pivotButton="0" quotePrefix="0" xfId="0">
      <alignment horizontal="right" vertical="center" shrinkToFit="1"/>
    </xf>
    <xf numFmtId="165" fontId="10" fillId="0" borderId="11" applyAlignment="1" pivotButton="0" quotePrefix="0" xfId="0">
      <alignment horizontal="right" vertical="center" shrinkToFit="1"/>
    </xf>
    <xf numFmtId="164" fontId="7" fillId="0" borderId="40" applyAlignment="1" pivotButton="0" quotePrefix="0" xfId="1">
      <alignment horizontal="right" vertical="center"/>
    </xf>
    <xf numFmtId="164" fontId="7" fillId="0" borderId="25" applyAlignment="1" pivotButton="0" quotePrefix="0" xfId="1">
      <alignment horizontal="right" vertical="center" wrapText="1" shrinkToFit="1"/>
    </xf>
    <xf numFmtId="164" fontId="7" fillId="0" borderId="25" applyAlignment="1" pivotButton="0" quotePrefix="0" xfId="1">
      <alignment horizontal="right" vertical="center" shrinkToFit="1"/>
    </xf>
    <xf numFmtId="164" fontId="7" fillId="0" borderId="38" applyAlignment="1" pivotButton="0" quotePrefix="0" xfId="1">
      <alignment horizontal="right" vertical="center" shrinkToFit="1"/>
    </xf>
    <xf numFmtId="164" fontId="10" fillId="0" borderId="9" applyAlignment="1" pivotButton="0" quotePrefix="0" xfId="0">
      <alignment horizontal="right" vertical="center" shrinkToFit="1"/>
    </xf>
    <xf numFmtId="0" fontId="7" fillId="0" borderId="44" applyAlignment="1" pivotButton="0" quotePrefix="0" xfId="0">
      <alignment horizontal="center" vertical="center"/>
    </xf>
    <xf numFmtId="0" fontId="7" fillId="0" borderId="50" applyAlignment="1" pivotButton="0" quotePrefix="0" xfId="0">
      <alignment horizontal="center" vertical="center"/>
    </xf>
    <xf numFmtId="0" fontId="7" fillId="0" borderId="5" applyAlignment="1" pivotButton="0" quotePrefix="0" xfId="0">
      <alignment vertical="center" shrinkToFit="1"/>
    </xf>
    <xf numFmtId="0" fontId="7" fillId="0" borderId="6" applyAlignment="1" pivotButton="0" quotePrefix="0" xfId="0">
      <alignment vertical="center" shrinkToFit="1"/>
    </xf>
    <xf numFmtId="167" fontId="7" fillId="0" borderId="26" applyAlignment="1" pivotButton="0" quotePrefix="0" xfId="1">
      <alignment horizontal="center" vertical="center" shrinkToFit="1"/>
    </xf>
    <xf numFmtId="167" fontId="7" fillId="0" borderId="27" applyAlignment="1" pivotButton="0" quotePrefix="0" xfId="1">
      <alignment horizontal="center" vertical="center" shrinkToFit="1"/>
    </xf>
    <xf numFmtId="167" fontId="7" fillId="0" borderId="26" applyAlignment="1" pivotButton="0" quotePrefix="0" xfId="1">
      <alignment horizontal="center" vertical="center" wrapText="1" shrinkToFit="1"/>
    </xf>
    <xf numFmtId="167" fontId="7" fillId="0" borderId="27" applyAlignment="1" pivotButton="0" quotePrefix="0" xfId="1">
      <alignment horizontal="center" vertical="center" wrapText="1" shrinkToFit="1"/>
    </xf>
    <xf numFmtId="0" fontId="7" fillId="0" borderId="43" applyAlignment="1" pivotButton="0" quotePrefix="0" xfId="0">
      <alignment horizontal="center" vertical="center"/>
    </xf>
    <xf numFmtId="0" fontId="6" fillId="0" borderId="42" applyAlignment="1" pivotButton="0" quotePrefix="0" xfId="0">
      <alignment horizontal="center" vertical="center" wrapText="1"/>
    </xf>
    <xf numFmtId="0" fontId="6" fillId="0" borderId="43" applyAlignment="1" pivotButton="0" quotePrefix="0" xfId="0">
      <alignment horizontal="center" vertical="center"/>
    </xf>
    <xf numFmtId="0" fontId="6" fillId="0" borderId="12" applyAlignment="1" pivotButton="0" quotePrefix="0" xfId="0">
      <alignment horizontal="center" vertical="center" shrinkToFit="1"/>
    </xf>
    <xf numFmtId="0" fontId="8" fillId="0" borderId="20" applyAlignment="1" pivotButton="0" quotePrefix="0" xfId="0">
      <alignment horizontal="center" vertical="center" shrinkToFit="1"/>
    </xf>
    <xf numFmtId="0" fontId="9" fillId="0" borderId="13" applyAlignment="1" pivotButton="0" quotePrefix="0" xfId="0">
      <alignment horizontal="center" vertical="center" shrinkToFit="1"/>
    </xf>
    <xf numFmtId="0" fontId="9" fillId="0" borderId="14" applyAlignment="1" pivotButton="0" quotePrefix="0" xfId="0">
      <alignment horizontal="center" vertical="center" shrinkToFit="1"/>
    </xf>
    <xf numFmtId="0" fontId="9" fillId="0" borderId="21" applyAlignment="1" pivotButton="0" quotePrefix="0" xfId="0">
      <alignment horizontal="center" vertical="center" shrinkToFit="1"/>
    </xf>
    <xf numFmtId="0" fontId="9" fillId="0" borderId="22" applyAlignment="1" pivotButton="0" quotePrefix="0" xfId="0">
      <alignment horizontal="center" vertical="center" shrinkToFit="1"/>
    </xf>
    <xf numFmtId="0" fontId="9" fillId="0" borderId="12" applyAlignment="1" pivotButton="0" quotePrefix="0" xfId="0">
      <alignment horizontal="center" vertical="center" shrinkToFit="1"/>
    </xf>
    <xf numFmtId="0" fontId="9" fillId="0" borderId="20" applyAlignment="1" pivotButton="0" quotePrefix="0" xfId="0">
      <alignment horizontal="center" vertical="center" shrinkToFit="1"/>
    </xf>
    <xf numFmtId="0" fontId="6" fillId="0" borderId="12" applyAlignment="1" pivotButton="0" quotePrefix="0" xfId="0">
      <alignment horizontal="center" vertical="center" wrapText="1"/>
    </xf>
    <xf numFmtId="0" fontId="6" fillId="0" borderId="20" applyAlignment="1" pivotButton="0" quotePrefix="0" xfId="0">
      <alignment horizontal="center" vertical="center"/>
    </xf>
    <xf numFmtId="0" fontId="6" fillId="0" borderId="15" applyAlignment="1" pivotButton="0" quotePrefix="0" xfId="0">
      <alignment horizontal="center" vertical="center" wrapText="1"/>
    </xf>
    <xf numFmtId="0" fontId="6" fillId="0" borderId="23" applyAlignment="1" pivotButton="0" quotePrefix="0" xfId="0">
      <alignment horizontal="center" vertical="center"/>
    </xf>
    <xf numFmtId="167" fontId="7" fillId="0" borderId="39" applyAlignment="1" pivotButton="0" quotePrefix="0" xfId="0">
      <alignment horizontal="center" vertical="center"/>
    </xf>
    <xf numFmtId="167" fontId="7" fillId="0" borderId="35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5" fillId="0" borderId="2" applyAlignment="1" pivotButton="0" quotePrefix="0" xfId="0">
      <alignment horizontal="center" vertical="center"/>
    </xf>
    <xf numFmtId="0" fontId="5" fillId="0" borderId="3" applyAlignment="1" pivotButton="0" quotePrefix="0" xfId="0">
      <alignment horizontal="center" vertical="center"/>
    </xf>
    <xf numFmtId="0" fontId="5" fillId="0" borderId="4" applyAlignment="1" pivotButton="0" quotePrefix="0" xfId="0">
      <alignment horizontal="center" vertical="center"/>
    </xf>
    <xf numFmtId="0" fontId="5" fillId="0" borderId="5" applyAlignment="1" pivotButton="0" quotePrefix="0" xfId="0">
      <alignment horizontal="center" vertical="center"/>
    </xf>
    <xf numFmtId="0" fontId="5" fillId="0" borderId="6" applyAlignment="1" pivotButton="0" quotePrefix="0" xfId="0">
      <alignment horizontal="center" vertical="center"/>
    </xf>
    <xf numFmtId="0" fontId="16" fillId="0" borderId="4" applyAlignment="1" pivotButton="0" quotePrefix="0" xfId="0">
      <alignment horizontal="left" vertical="center" shrinkToFit="1"/>
    </xf>
    <xf numFmtId="0" fontId="17" fillId="0" borderId="5" applyAlignment="1" pivotButton="0" quotePrefix="0" xfId="0">
      <alignment vertical="center" shrinkToFit="1"/>
    </xf>
    <xf numFmtId="0" fontId="7" fillId="0" borderId="7" applyAlignment="1" pivotButton="0" quotePrefix="0" xfId="0">
      <alignment horizontal="left" vertical="center" wrapText="1" shrinkToFit="1"/>
    </xf>
    <xf numFmtId="0" fontId="7" fillId="0" borderId="0" applyAlignment="1" pivotButton="0" quotePrefix="0" xfId="0">
      <alignment horizontal="left" vertical="center" shrinkToFit="1"/>
    </xf>
    <xf numFmtId="0" fontId="7" fillId="0" borderId="8" applyAlignment="1" pivotButton="0" quotePrefix="0" xfId="0">
      <alignment horizontal="left" vertical="center" shrinkToFit="1"/>
    </xf>
    <xf numFmtId="0" fontId="7" fillId="0" borderId="7" applyAlignment="1" pivotButton="0" quotePrefix="0" xfId="0">
      <alignment horizontal="left" vertical="center" shrinkToFit="1"/>
    </xf>
    <xf numFmtId="0" fontId="7" fillId="2" borderId="7" applyAlignment="1" pivotButton="0" quotePrefix="0" xfId="0">
      <alignment horizontal="left" vertical="center" shrinkToFit="1"/>
    </xf>
    <xf numFmtId="0" fontId="7" fillId="2" borderId="0" applyAlignment="1" pivotButton="0" quotePrefix="0" xfId="0">
      <alignment horizontal="left" vertical="center" shrinkToFit="1"/>
    </xf>
    <xf numFmtId="0" fontId="7" fillId="2" borderId="8" applyAlignment="1" pivotButton="0" quotePrefix="0" xfId="0">
      <alignment horizontal="left" vertical="center" shrinkToFit="1"/>
    </xf>
    <xf numFmtId="0" fontId="6" fillId="0" borderId="1" applyAlignment="1" pivotButton="0" quotePrefix="0" xfId="0">
      <alignment horizontal="left" vertical="center" shrinkToFit="1"/>
    </xf>
    <xf numFmtId="0" fontId="6" fillId="0" borderId="2" applyAlignment="1" pivotButton="0" quotePrefix="0" xfId="0">
      <alignment horizontal="left" vertical="center" shrinkToFit="1"/>
    </xf>
    <xf numFmtId="0" fontId="8" fillId="0" borderId="2" applyAlignment="1" pivotButton="0" quotePrefix="0" xfId="0">
      <alignment horizontal="left" vertical="center" shrinkToFit="1"/>
    </xf>
    <xf numFmtId="0" fontId="8" fillId="0" borderId="3" applyAlignment="1" pivotButton="0" quotePrefix="0" xfId="0">
      <alignment horizontal="left" vertical="center" shrinkToFit="1"/>
    </xf>
    <xf numFmtId="0" fontId="7" fillId="0" borderId="2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 vertical="center"/>
    </xf>
    <xf numFmtId="167" fontId="7" fillId="0" borderId="36" applyAlignment="1" pivotButton="0" quotePrefix="0" xfId="1">
      <alignment horizontal="center" vertical="center" shrinkToFit="1"/>
    </xf>
    <xf numFmtId="167" fontId="7" fillId="0" borderId="37" applyAlignment="1" pivotButton="0" quotePrefix="0" xfId="1">
      <alignment horizontal="center" vertical="center" shrinkToFit="1"/>
    </xf>
    <xf numFmtId="164" fontId="7" fillId="0" borderId="39" applyAlignment="1" pivotButton="0" quotePrefix="0" xfId="1">
      <alignment horizontal="center" vertical="center" shrinkToFit="1"/>
    </xf>
    <xf numFmtId="164" fontId="7" fillId="0" borderId="35" applyAlignment="1" pivotButton="0" quotePrefix="0" xfId="1">
      <alignment horizontal="center" vertical="center" shrinkToFit="1"/>
    </xf>
    <xf numFmtId="0" fontId="7" fillId="0" borderId="32" applyAlignment="1" pivotButton="0" quotePrefix="0" xfId="0">
      <alignment horizontal="center" vertical="center" wrapText="1" shrinkToFit="1"/>
    </xf>
    <xf numFmtId="0" fontId="7" fillId="0" borderId="33" applyAlignment="1" pivotButton="0" quotePrefix="0" xfId="0">
      <alignment horizontal="center" vertical="center" wrapText="1" shrinkToFit="1"/>
    </xf>
    <xf numFmtId="164" fontId="11" fillId="0" borderId="32" applyAlignment="1" pivotButton="0" quotePrefix="0" xfId="1">
      <alignment horizontal="center" vertical="center" shrinkToFit="1"/>
    </xf>
    <xf numFmtId="164" fontId="11" fillId="0" borderId="33" applyAlignment="1" pivotButton="0" quotePrefix="0" xfId="1">
      <alignment horizontal="center" vertical="center" shrinkToFit="1"/>
    </xf>
    <xf numFmtId="167" fontId="7" fillId="0" borderId="39" applyAlignment="1" pivotButton="0" quotePrefix="0" xfId="1">
      <alignment horizontal="center" vertical="center"/>
    </xf>
    <xf numFmtId="167" fontId="7" fillId="0" borderId="29" applyAlignment="1" pivotButton="0" quotePrefix="0" xfId="1">
      <alignment horizontal="center" vertical="center"/>
    </xf>
    <xf numFmtId="167" fontId="7" fillId="0" borderId="35" applyAlignment="1" pivotButton="0" quotePrefix="0" xfId="1">
      <alignment horizontal="center" vertical="center"/>
    </xf>
    <xf numFmtId="0" fontId="10" fillId="0" borderId="0" applyAlignment="1" pivotButton="0" quotePrefix="0" xfId="0">
      <alignment horizontal="center" vertical="center" shrinkToFit="1"/>
    </xf>
    <xf numFmtId="0" fontId="10" fillId="0" borderId="0" applyAlignment="1" pivotButton="0" quotePrefix="0" xfId="0">
      <alignment vertical="center" shrinkToFit="1"/>
    </xf>
    <xf numFmtId="0" fontId="10" fillId="0" borderId="52" applyAlignment="1" pivotButton="0" quotePrefix="0" xfId="0">
      <alignment horizontal="right" vertical="center" shrinkToFit="1"/>
    </xf>
    <xf numFmtId="0" fontId="10" fillId="0" borderId="9" applyAlignment="1" pivotButton="0" quotePrefix="0" xfId="0">
      <alignment horizontal="right" vertical="center" shrinkToFit="1"/>
    </xf>
    <xf numFmtId="0" fontId="10" fillId="0" borderId="10" applyAlignment="1" pivotButton="0" quotePrefix="0" xfId="0">
      <alignment horizontal="center" vertical="center" shrinkToFit="1"/>
    </xf>
    <xf numFmtId="0" fontId="10" fillId="0" borderId="9" applyAlignment="1" pivotButton="0" quotePrefix="0" xfId="0">
      <alignment horizontal="center" vertical="center" shrinkToFit="1"/>
    </xf>
    <xf numFmtId="0" fontId="7" fillId="0" borderId="9" applyAlignment="1" pivotButton="0" quotePrefix="0" xfId="0">
      <alignment horizontal="left" vertical="center"/>
    </xf>
    <xf numFmtId="0" fontId="14" fillId="2" borderId="10" applyAlignment="1" pivotButton="0" quotePrefix="0" xfId="0">
      <alignment vertical="center" shrinkToFit="1"/>
    </xf>
    <xf numFmtId="0" fontId="15" fillId="2" borderId="9" applyAlignment="1" pivotButton="0" quotePrefix="0" xfId="0">
      <alignment vertical="center" shrinkToFit="1"/>
    </xf>
    <xf numFmtId="0" fontId="15" fillId="2" borderId="11" applyAlignment="1" pivotButton="0" quotePrefix="0" xfId="0">
      <alignment vertical="center" shrinkToFit="1"/>
    </xf>
    <xf numFmtId="0" fontId="6" fillId="0" borderId="10" applyAlignment="1" pivotButton="0" quotePrefix="0" xfId="0">
      <alignment horizontal="left" vertical="center" shrinkToFit="1"/>
    </xf>
    <xf numFmtId="0" fontId="6" fillId="0" borderId="9" applyAlignment="1" pivotButton="0" quotePrefix="0" xfId="0">
      <alignment horizontal="left" vertical="center" shrinkToFit="1"/>
    </xf>
    <xf numFmtId="0" fontId="8" fillId="0" borderId="9" applyAlignment="1" pivotButton="0" quotePrefix="0" xfId="0">
      <alignment horizontal="left" vertical="center" shrinkToFit="1"/>
    </xf>
    <xf numFmtId="0" fontId="8" fillId="0" borderId="11" applyAlignment="1" pivotButton="0" quotePrefix="0" xfId="0">
      <alignment horizontal="left" vertical="center" shrinkToFit="1"/>
    </xf>
    <xf numFmtId="0" fontId="7" fillId="0" borderId="7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7" fillId="0" borderId="8" applyAlignment="1" pivotButton="0" quotePrefix="0" xfId="0">
      <alignment horizontal="center" vertical="center"/>
    </xf>
    <xf numFmtId="0" fontId="7" fillId="0" borderId="9" applyAlignment="1" pivotButton="0" quotePrefix="0" xfId="0">
      <alignment vertical="center" shrinkToFit="1"/>
    </xf>
    <xf numFmtId="0" fontId="9" fillId="0" borderId="2" applyAlignment="1" pivotButton="0" quotePrefix="0" xfId="0">
      <alignment horizontal="center" vertical="center" shrinkToFit="1"/>
    </xf>
    <xf numFmtId="0" fontId="9" fillId="0" borderId="17" applyAlignment="1" pivotButton="0" quotePrefix="0" xfId="0">
      <alignment horizontal="center" vertical="center" shrinkToFit="1"/>
    </xf>
    <xf numFmtId="0" fontId="9" fillId="0" borderId="5" applyAlignment="1" pivotButton="0" quotePrefix="0" xfId="0">
      <alignment horizontal="center" vertical="center" shrinkToFit="1"/>
    </xf>
    <xf numFmtId="0" fontId="9" fillId="0" borderId="18" applyAlignment="1" pivotButton="0" quotePrefix="0" xfId="0">
      <alignment horizontal="center" vertical="center" shrinkToFit="1"/>
    </xf>
    <xf numFmtId="164" fontId="7" fillId="0" borderId="21" applyAlignment="1" pivotButton="0" quotePrefix="0" xfId="1">
      <alignment horizontal="center" vertical="center" wrapText="1" shrinkToFit="1"/>
    </xf>
    <xf numFmtId="164" fontId="7" fillId="0" borderId="0" applyAlignment="1" pivotButton="0" quotePrefix="0" xfId="1">
      <alignment horizontal="center" vertical="center" shrinkToFit="1"/>
    </xf>
    <xf numFmtId="164" fontId="7" fillId="0" borderId="22" applyAlignment="1" pivotButton="0" quotePrefix="0" xfId="1">
      <alignment horizontal="center" vertical="center" shrinkToFit="1"/>
    </xf>
    <xf numFmtId="0" fontId="6" fillId="0" borderId="1" applyAlignment="1" pivotButton="0" quotePrefix="0" xfId="0">
      <alignment horizontal="center" vertical="center" wrapText="1"/>
    </xf>
    <xf numFmtId="0" fontId="6" fillId="0" borderId="14" applyAlignment="1" pivotButton="0" quotePrefix="0" xfId="0">
      <alignment horizontal="center" vertical="center" wrapText="1"/>
    </xf>
    <xf numFmtId="0" fontId="6" fillId="0" borderId="4" applyAlignment="1" pivotButton="0" quotePrefix="0" xfId="0">
      <alignment horizontal="center" vertical="center" wrapText="1"/>
    </xf>
    <xf numFmtId="0" fontId="6" fillId="0" borderId="18" applyAlignment="1" pivotButton="0" quotePrefix="0" xfId="0">
      <alignment horizontal="center" vertical="center" wrapText="1"/>
    </xf>
    <xf numFmtId="0" fontId="6" fillId="0" borderId="7" applyAlignment="1" pivotButton="0" quotePrefix="0" xfId="0">
      <alignment horizontal="center" vertical="center"/>
    </xf>
    <xf numFmtId="0" fontId="6" fillId="0" borderId="22" applyAlignment="1" pivotButton="0" quotePrefix="0" xfId="0">
      <alignment horizontal="center" vertical="center"/>
    </xf>
    <xf numFmtId="0" fontId="7" fillId="0" borderId="22" applyAlignment="1" pivotButton="0" quotePrefix="0" xfId="0">
      <alignment horizontal="center" vertical="center"/>
    </xf>
    <xf numFmtId="0" fontId="7" fillId="0" borderId="22" applyAlignment="1" pivotButton="0" quotePrefix="0" xfId="0">
      <alignment horizontal="left" vertical="center" shrinkToFit="1"/>
    </xf>
    <xf numFmtId="0" fontId="7" fillId="0" borderId="21" applyAlignment="1" pivotButton="0" quotePrefix="0" xfId="1">
      <alignment horizontal="left" vertical="center" shrinkToFit="1"/>
    </xf>
    <xf numFmtId="0" fontId="7" fillId="0" borderId="0" applyAlignment="1" pivotButton="0" quotePrefix="0" xfId="1">
      <alignment horizontal="left" vertical="center" shrinkToFit="1"/>
    </xf>
    <xf numFmtId="0" fontId="6" fillId="0" borderId="19" applyAlignment="1" pivotButton="0" quotePrefix="0" xfId="0">
      <alignment horizontal="center" vertical="center"/>
    </xf>
    <xf numFmtId="0" fontId="7" fillId="0" borderId="21" applyAlignment="1" pivotButton="0" quotePrefix="0" xfId="1">
      <alignment horizontal="center" vertical="center" shrinkToFit="1"/>
    </xf>
    <xf numFmtId="0" fontId="7" fillId="0" borderId="0" applyAlignment="1" pivotButton="0" quotePrefix="0" xfId="1">
      <alignment horizontal="center" vertical="center" shrinkToFit="1"/>
    </xf>
    <xf numFmtId="0" fontId="7" fillId="0" borderId="22" applyAlignment="1" pivotButton="0" quotePrefix="0" xfId="1">
      <alignment horizontal="center" vertical="center" shrinkToFit="1"/>
    </xf>
    <xf numFmtId="164" fontId="7" fillId="0" borderId="21" applyAlignment="1" pivotButton="0" quotePrefix="0" xfId="1">
      <alignment vertical="center" shrinkToFit="1"/>
    </xf>
    <xf numFmtId="0" fontId="7" fillId="0" borderId="0" applyAlignment="1" pivotButton="0" quotePrefix="0" xfId="0">
      <alignment vertical="center" shrinkToFit="1"/>
    </xf>
    <xf numFmtId="0" fontId="7" fillId="0" borderId="22" applyAlignment="1" pivotButton="0" quotePrefix="0" xfId="0">
      <alignment vertical="center" shrinkToFit="1"/>
    </xf>
    <xf numFmtId="0" fontId="6" fillId="0" borderId="16" applyAlignment="1" pivotButton="0" quotePrefix="0" xfId="0">
      <alignment horizontal="center" vertical="center"/>
    </xf>
    <xf numFmtId="164" fontId="9" fillId="0" borderId="21" applyAlignment="1" pivotButton="0" quotePrefix="0" xfId="1">
      <alignment horizontal="center" vertical="center" shrinkToFit="1"/>
    </xf>
    <xf numFmtId="0" fontId="9" fillId="0" borderId="0" applyAlignment="1" pivotButton="0" quotePrefix="0" xfId="0">
      <alignment horizontal="center" vertical="center" shrinkToFit="1"/>
    </xf>
    <xf numFmtId="164" fontId="8" fillId="0" borderId="21" applyAlignment="1" pivotButton="0" quotePrefix="0" xfId="1">
      <alignment horizontal="left" vertical="center" shrinkToFit="1"/>
    </xf>
    <xf numFmtId="0" fontId="8" fillId="0" borderId="0" applyAlignment="1" pivotButton="0" quotePrefix="0" xfId="0">
      <alignment horizontal="left" vertical="center" shrinkToFit="1"/>
    </xf>
    <xf numFmtId="0" fontId="8" fillId="0" borderId="22" applyAlignment="1" pivotButton="0" quotePrefix="0" xfId="0">
      <alignment horizontal="left" vertical="center" shrinkToFit="1"/>
    </xf>
    <xf numFmtId="0" fontId="11" fillId="0" borderId="21" applyAlignment="1" pivotButton="0" quotePrefix="0" xfId="1">
      <alignment horizontal="left" vertical="center" shrinkToFit="1"/>
    </xf>
    <xf numFmtId="0" fontId="11" fillId="0" borderId="0" applyAlignment="1" pivotButton="0" quotePrefix="0" xfId="1">
      <alignment horizontal="left" vertical="center" shrinkToFit="1"/>
    </xf>
    <xf numFmtId="0" fontId="11" fillId="0" borderId="22" applyAlignment="1" pivotButton="0" quotePrefix="0" xfId="1">
      <alignment horizontal="left" vertical="center" shrinkToFit="1"/>
    </xf>
    <xf numFmtId="1" fontId="7" fillId="0" borderId="0" applyAlignment="1" pivotButton="0" quotePrefix="0" xfId="1">
      <alignment horizontal="left" vertical="center" shrinkToFit="1"/>
    </xf>
    <xf numFmtId="1" fontId="7" fillId="0" borderId="22" applyAlignment="1" pivotButton="0" quotePrefix="0" xfId="1">
      <alignment horizontal="left" vertical="center" shrinkToFit="1"/>
    </xf>
    <xf numFmtId="0" fontId="19" fillId="0" borderId="21" applyAlignment="1" pivotButton="0" quotePrefix="0" xfId="1">
      <alignment horizontal="left" vertical="center" shrinkToFit="1"/>
    </xf>
    <xf numFmtId="0" fontId="19" fillId="0" borderId="0" applyAlignment="1" pivotButton="0" quotePrefix="0" xfId="1">
      <alignment horizontal="left" vertical="center" shrinkToFit="1"/>
    </xf>
    <xf numFmtId="0" fontId="5" fillId="0" borderId="57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0" fontId="7" fillId="0" borderId="58" applyAlignment="1" pivotButton="0" quotePrefix="0" xfId="0">
      <alignment horizontal="left" vertical="center" wrapText="1" shrinkToFit="1"/>
    </xf>
    <xf numFmtId="0" fontId="0" fillId="0" borderId="8" pivotButton="0" quotePrefix="0" xfId="0"/>
    <xf numFmtId="0" fontId="7" fillId="0" borderId="58" applyAlignment="1" pivotButton="0" quotePrefix="0" xfId="0">
      <alignment horizontal="center" vertical="center"/>
    </xf>
    <xf numFmtId="0" fontId="7" fillId="0" borderId="58" applyAlignment="1" pivotButton="0" quotePrefix="0" xfId="0">
      <alignment horizontal="left" vertical="center" shrinkToFit="1"/>
    </xf>
    <xf numFmtId="0" fontId="7" fillId="2" borderId="58" applyAlignment="1" pivotButton="0" quotePrefix="0" xfId="0">
      <alignment horizontal="left" vertical="center" shrinkToFit="1"/>
    </xf>
    <xf numFmtId="0" fontId="14" fillId="2" borderId="57" applyAlignment="1" pivotButton="0" quotePrefix="0" xfId="0">
      <alignment vertical="center" shrinkToFit="1"/>
    </xf>
    <xf numFmtId="0" fontId="0" fillId="0" borderId="9" pivotButton="0" quotePrefix="0" xfId="0"/>
    <xf numFmtId="0" fontId="0" fillId="0" borderId="11" pivotButton="0" quotePrefix="0" xfId="0"/>
    <xf numFmtId="0" fontId="6" fillId="0" borderId="57" applyAlignment="1" pivotButton="0" quotePrefix="0" xfId="0">
      <alignment horizontal="left" vertical="center" shrinkToFit="1"/>
    </xf>
    <xf numFmtId="0" fontId="6" fillId="0" borderId="56" applyAlignment="1" pivotButton="0" quotePrefix="0" xfId="0">
      <alignment horizontal="center" vertical="center" wrapText="1"/>
    </xf>
    <xf numFmtId="0" fontId="0" fillId="0" borderId="14" pivotButton="0" quotePrefix="0" xfId="0"/>
    <xf numFmtId="0" fontId="9" fillId="0" borderId="55" applyAlignment="1" pivotButton="0" quotePrefix="0" xfId="0">
      <alignment horizontal="center" vertical="center" shrinkToFit="1"/>
    </xf>
    <xf numFmtId="0" fontId="6" fillId="0" borderId="55" applyAlignment="1" pivotButton="0" quotePrefix="0" xfId="0">
      <alignment horizontal="center" vertical="center" wrapText="1"/>
    </xf>
    <xf numFmtId="0" fontId="6" fillId="0" borderId="54" applyAlignment="1" pivotButton="0" quotePrefix="0" xfId="0">
      <alignment horizontal="center" vertical="center" wrapText="1"/>
    </xf>
    <xf numFmtId="0" fontId="0" fillId="0" borderId="18" pivotButton="0" quotePrefix="0" xfId="0"/>
    <xf numFmtId="0" fontId="0" fillId="0" borderId="17" pivotButton="0" quotePrefix="0" xfId="0"/>
    <xf numFmtId="0" fontId="0" fillId="0" borderId="16" pivotButton="0" quotePrefix="0" xfId="0"/>
    <xf numFmtId="0" fontId="0" fillId="0" borderId="19" pivotButton="0" quotePrefix="0" xfId="0"/>
    <xf numFmtId="164" fontId="7" fillId="0" borderId="12" applyAlignment="1" pivotButton="0" quotePrefix="0" xfId="1">
      <alignment vertical="center"/>
    </xf>
    <xf numFmtId="164" fontId="7" fillId="0" borderId="15" applyAlignment="1" pivotButton="0" quotePrefix="0" xfId="1">
      <alignment vertical="center"/>
    </xf>
    <xf numFmtId="0" fontId="0" fillId="0" borderId="22" pivotButton="0" quotePrefix="0" xfId="0"/>
    <xf numFmtId="164" fontId="7" fillId="0" borderId="20" applyAlignment="1" pivotButton="0" quotePrefix="0" xfId="1">
      <alignment horizontal="center" vertical="center" wrapText="1" shrinkToFit="1"/>
    </xf>
    <xf numFmtId="169" fontId="7" fillId="0" borderId="20" applyAlignment="1" pivotButton="0" quotePrefix="0" xfId="0">
      <alignment horizontal="center" vertical="center"/>
    </xf>
    <xf numFmtId="172" fontId="7" fillId="0" borderId="20" applyAlignment="1" pivotButton="0" quotePrefix="0" xfId="1">
      <alignment vertical="center"/>
    </xf>
    <xf numFmtId="165" fontId="7" fillId="0" borderId="23" applyAlignment="1" pivotButton="0" quotePrefix="0" xfId="1">
      <alignment horizontal="center" vertical="center"/>
    </xf>
    <xf numFmtId="165" fontId="7" fillId="0" borderId="20" applyAlignment="1" pivotButton="0" quotePrefix="0" xfId="1">
      <alignment vertical="center"/>
    </xf>
    <xf numFmtId="165" fontId="7" fillId="0" borderId="23" applyAlignment="1" pivotButton="0" quotePrefix="0" xfId="1">
      <alignment horizontal="right" vertical="center"/>
    </xf>
    <xf numFmtId="168" fontId="0" fillId="0" borderId="0" applyAlignment="1" pivotButton="0" quotePrefix="0" xfId="0">
      <alignment vertical="center"/>
    </xf>
    <xf numFmtId="0" fontId="7" fillId="0" borderId="20" applyAlignment="1" pivotButton="0" quotePrefix="0" xfId="1">
      <alignment horizontal="center" vertical="center" shrinkToFit="1"/>
    </xf>
    <xf numFmtId="169" fontId="7" fillId="2" borderId="20" applyAlignment="1" pivotButton="0" quotePrefix="0" xfId="0">
      <alignment horizontal="center" vertical="center"/>
    </xf>
    <xf numFmtId="170" fontId="6" fillId="0" borderId="23" applyAlignment="1" pivotButton="0" quotePrefix="0" xfId="1">
      <alignment horizontal="center" vertical="center"/>
    </xf>
    <xf numFmtId="164" fontId="7" fillId="0" borderId="20" applyAlignment="1" pivotButton="0" quotePrefix="0" xfId="1">
      <alignment vertical="center" shrinkToFit="1"/>
    </xf>
    <xf numFmtId="166" fontId="7" fillId="0" borderId="20" applyAlignment="1" pivotButton="0" quotePrefix="1" xfId="2">
      <alignment horizontal="right" vertical="center"/>
    </xf>
    <xf numFmtId="165" fontId="7" fillId="0" borderId="23" applyAlignment="1" pivotButton="0" quotePrefix="1" xfId="1">
      <alignment horizontal="right" vertical="center"/>
    </xf>
    <xf numFmtId="164" fontId="8" fillId="0" borderId="20" applyAlignment="1" pivotButton="0" quotePrefix="0" xfId="1">
      <alignment horizontal="left" vertical="center" shrinkToFit="1"/>
    </xf>
    <xf numFmtId="164" fontId="9" fillId="0" borderId="20" applyAlignment="1" pivotButton="0" quotePrefix="0" xfId="1">
      <alignment horizontal="center" vertical="center" shrinkToFit="1"/>
    </xf>
    <xf numFmtId="164" fontId="10" fillId="0" borderId="53" applyAlignment="1" pivotButton="0" quotePrefix="0" xfId="0">
      <alignment horizontal="right" vertical="center" shrinkToFit="1"/>
    </xf>
    <xf numFmtId="164" fontId="10" fillId="0" borderId="9" applyAlignment="1" pivotButton="0" quotePrefix="0" xfId="0">
      <alignment horizontal="right" vertical="center" shrinkToFit="1"/>
    </xf>
    <xf numFmtId="165" fontId="10" fillId="0" borderId="11" applyAlignment="1" pivotButton="0" quotePrefix="0" xfId="0">
      <alignment horizontal="right" vertical="center" shrinkToFit="1"/>
    </xf>
    <xf numFmtId="0" fontId="6" fillId="0" borderId="59" applyAlignment="1" pivotButton="0" quotePrefix="0" xfId="0">
      <alignment horizontal="left" vertical="center" shrinkToFit="1"/>
    </xf>
    <xf numFmtId="0" fontId="0" fillId="0" borderId="43" pivotButton="0" quotePrefix="0" xfId="0"/>
    <xf numFmtId="0" fontId="0" fillId="0" borderId="20" pivotButton="0" quotePrefix="0" xfId="0"/>
    <xf numFmtId="0" fontId="0" fillId="0" borderId="21" pivotButton="0" quotePrefix="0" xfId="0"/>
    <xf numFmtId="0" fontId="0" fillId="0" borderId="23" pivotButton="0" quotePrefix="0" xfId="0"/>
    <xf numFmtId="167" fontId="7" fillId="0" borderId="35" applyAlignment="1" pivotButton="0" quotePrefix="0" xfId="0">
      <alignment horizontal="center" vertical="center"/>
    </xf>
    <xf numFmtId="167" fontId="7" fillId="0" borderId="30" applyAlignment="1" pivotButton="0" quotePrefix="0" xfId="0">
      <alignment horizontal="center" vertical="center"/>
    </xf>
    <xf numFmtId="0" fontId="0" fillId="0" borderId="35" pivotButton="0" quotePrefix="0" xfId="0"/>
    <xf numFmtId="167" fontId="7" fillId="0" borderId="40" applyAlignment="1" pivotButton="0" quotePrefix="0" xfId="0">
      <alignment horizontal="center" vertical="center"/>
    </xf>
    <xf numFmtId="164" fontId="7" fillId="0" borderId="40" applyAlignment="1" pivotButton="0" quotePrefix="0" xfId="1">
      <alignment horizontal="right" vertical="center"/>
    </xf>
    <xf numFmtId="171" fontId="7" fillId="0" borderId="40" applyAlignment="1" pivotButton="0" quotePrefix="0" xfId="0">
      <alignment horizontal="right" vertical="center"/>
    </xf>
    <xf numFmtId="167" fontId="7" fillId="0" borderId="40" applyAlignment="1" pivotButton="0" quotePrefix="0" xfId="1">
      <alignment horizontal="right" vertical="center"/>
    </xf>
    <xf numFmtId="164" fontId="7" fillId="0" borderId="45" applyAlignment="1" pivotButton="0" quotePrefix="0" xfId="1">
      <alignment vertical="center"/>
    </xf>
    <xf numFmtId="167" fontId="7" fillId="0" borderId="34" applyAlignment="1" pivotButton="0" quotePrefix="0" xfId="0">
      <alignment horizontal="center" vertical="center"/>
    </xf>
    <xf numFmtId="167" fontId="7" fillId="0" borderId="25" applyAlignment="1" pivotButton="0" quotePrefix="0" xfId="1">
      <alignment horizontal="center" vertical="center" wrapText="1" shrinkToFit="1"/>
    </xf>
    <xf numFmtId="0" fontId="0" fillId="0" borderId="27" pivotButton="0" quotePrefix="0" xfId="0"/>
    <xf numFmtId="167" fontId="7" fillId="0" borderId="25" applyAlignment="1" pivotButton="0" quotePrefix="0" xfId="1">
      <alignment horizontal="center" vertical="center" shrinkToFit="1"/>
    </xf>
    <xf numFmtId="164" fontId="7" fillId="0" borderId="25" applyAlignment="1" pivotButton="0" quotePrefix="0" xfId="1">
      <alignment horizontal="right" vertical="center" wrapText="1" shrinkToFit="1"/>
    </xf>
    <xf numFmtId="167" fontId="7" fillId="2" borderId="25" applyAlignment="1" pivotButton="0" quotePrefix="0" xfId="0">
      <alignment horizontal="right" vertical="center"/>
    </xf>
    <xf numFmtId="167" fontId="7" fillId="0" borderId="25" applyAlignment="1" pivotButton="0" quotePrefix="0" xfId="1">
      <alignment horizontal="right" vertical="center"/>
    </xf>
    <xf numFmtId="164" fontId="7" fillId="0" borderId="46" applyAlignment="1" pivotButton="0" quotePrefix="0" xfId="1">
      <alignment vertical="center"/>
    </xf>
    <xf numFmtId="164" fontId="7" fillId="0" borderId="25" applyAlignment="1" pivotButton="0" quotePrefix="0" xfId="1">
      <alignment horizontal="right" vertical="center" shrinkToFit="1"/>
    </xf>
    <xf numFmtId="167" fontId="7" fillId="0" borderId="28" applyAlignment="1" pivotButton="0" quotePrefix="0" xfId="0">
      <alignment horizontal="right" vertical="center"/>
    </xf>
    <xf numFmtId="165" fontId="7" fillId="0" borderId="47" applyAlignment="1" pivotButton="0" quotePrefix="0" xfId="1">
      <alignment horizontal="center" vertical="center"/>
    </xf>
    <xf numFmtId="167" fontId="7" fillId="0" borderId="38" applyAlignment="1" pivotButton="0" quotePrefix="0" xfId="1">
      <alignment horizontal="center" vertical="center" shrinkToFit="1"/>
    </xf>
    <xf numFmtId="0" fontId="0" fillId="0" borderId="37" pivotButton="0" quotePrefix="0" xfId="0"/>
    <xf numFmtId="164" fontId="7" fillId="0" borderId="38" applyAlignment="1" pivotButton="0" quotePrefix="0" xfId="1">
      <alignment horizontal="right" vertical="center" shrinkToFit="1"/>
    </xf>
    <xf numFmtId="167" fontId="7" fillId="0" borderId="41" applyAlignment="1" pivotButton="0" quotePrefix="0" xfId="1">
      <alignment horizontal="right" vertical="center"/>
    </xf>
    <xf numFmtId="167" fontId="7" fillId="0" borderId="38" applyAlignment="1" pivotButton="0" quotePrefix="0" xfId="1">
      <alignment vertical="center"/>
    </xf>
    <xf numFmtId="165" fontId="7" fillId="0" borderId="48" applyAlignment="1" pivotButton="0" quotePrefix="0" xfId="1">
      <alignment horizontal="center" vertical="center"/>
    </xf>
    <xf numFmtId="167" fontId="7" fillId="0" borderId="30" applyAlignment="1" pivotButton="0" quotePrefix="0" xfId="1">
      <alignment horizontal="center" vertical="center"/>
    </xf>
    <xf numFmtId="0" fontId="0" fillId="0" borderId="29" pivotButton="0" quotePrefix="0" xfId="0"/>
    <xf numFmtId="167" fontId="7" fillId="0" borderId="20" applyAlignment="1" pivotButton="0" quotePrefix="0" xfId="1">
      <alignment vertical="center"/>
    </xf>
    <xf numFmtId="0" fontId="7" fillId="0" borderId="60" applyAlignment="1" pivotButton="0" quotePrefix="0" xfId="0">
      <alignment horizontal="center" vertical="center"/>
    </xf>
    <xf numFmtId="164" fontId="7" fillId="0" borderId="30" applyAlignment="1" pivotButton="0" quotePrefix="0" xfId="1">
      <alignment horizontal="center" vertical="center" shrinkToFit="1"/>
    </xf>
    <xf numFmtId="0" fontId="7" fillId="0" borderId="31" applyAlignment="1" pivotButton="0" quotePrefix="0" xfId="0">
      <alignment horizontal="center" vertical="center" wrapText="1" shrinkToFit="1"/>
    </xf>
    <xf numFmtId="0" fontId="0" fillId="0" borderId="33" pivotButton="0" quotePrefix="0" xfId="0"/>
    <xf numFmtId="167" fontId="7" fillId="0" borderId="30" applyAlignment="1" pivotButton="0" quotePrefix="1" xfId="2">
      <alignment horizontal="center" vertical="center" wrapText="1"/>
    </xf>
    <xf numFmtId="165" fontId="7" fillId="0" borderId="49" applyAlignment="1" pivotButton="0" quotePrefix="1" xfId="1">
      <alignment horizontal="center" vertical="center"/>
    </xf>
    <xf numFmtId="0" fontId="0" fillId="0" borderId="50" pivotButton="0" quotePrefix="0" xfId="0"/>
    <xf numFmtId="164" fontId="11" fillId="0" borderId="31" applyAlignment="1" pivotButton="0" quotePrefix="0" xfId="1">
      <alignment horizontal="center" vertical="center" shrinkToFit="1"/>
    </xf>
    <xf numFmtId="164" fontId="11" fillId="0" borderId="33" applyAlignment="1" pivotButton="0" quotePrefix="0" xfId="1">
      <alignment vertical="center" shrinkToFit="1"/>
    </xf>
    <xf numFmtId="167" fontId="7" fillId="0" borderId="31" applyAlignment="1" pivotButton="0" quotePrefix="0" xfId="1">
      <alignment vertical="center"/>
    </xf>
    <xf numFmtId="172" fontId="7" fillId="0" borderId="51" applyAlignment="1" pivotButton="0" quotePrefix="0" xfId="1">
      <alignment horizontal="center" vertical="center"/>
    </xf>
  </cellXfs>
  <cellStyles count="3">
    <cellStyle name="표준" xfId="0" builtinId="0"/>
    <cellStyle name="쉼표 [0]" xfId="1" builtinId="6"/>
    <cellStyle name="통화 [0]" xfId="2" builtinId="7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jpeg" Id="rId1"/></Relationships>
</file>

<file path=xl/drawings/drawing1.xml><?xml version="1.0" encoding="utf-8"?>
<wsDr xmlns="http://schemas.openxmlformats.org/drawingml/2006/spreadsheetDrawing">
  <twoCellAnchor editAs="oneCell">
    <from>
      <col>4</col>
      <colOff>1251363</colOff>
      <row>38</row>
      <rowOff>29127</rowOff>
    </from>
    <to>
      <col>8</col>
      <colOff>301188</colOff>
      <row>42</row>
      <rowOff>54278</rowOff>
    </to>
    <pic>
      <nvPicPr>
        <cNvPr id="2" name="그림 1" descr="대양전기 영문사인.JPG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3946938" y="8392077"/>
          <a:ext cx="2177387" cy="779531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9525">
          <a:noFill/>
          <a:prstDash val="solid"/>
          <a:miter lim="800000"/>
          <a:headEnd/>
          <a:tailEnd/>
        </a:ln>
      </spPr>
    </pic>
    <clientData/>
  </twoCellAnchor>
</wsDr>
</file>

<file path=xl/drawings/drawing2.xml><?xml version="1.0" encoding="utf-8"?>
<wsDr xmlns="http://schemas.openxmlformats.org/drawingml/2006/spreadsheetDrawing">
  <twoCellAnchor editAs="oneCell">
    <from>
      <col>6</col>
      <colOff>170071</colOff>
      <row>31</row>
      <rowOff>108226</rowOff>
    </from>
    <to>
      <col>8</col>
      <colOff>820981</colOff>
      <row>35</row>
      <rowOff>135617</rowOff>
    </to>
    <pic>
      <nvPicPr>
        <cNvPr id="2" name="그림 1" descr="대양전기 영문사인.JPG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4123636" y="8169965"/>
          <a:ext cx="1980186" cy="80170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9525">
          <a:noFill/>
          <a:prstDash val="solid"/>
          <a:miter lim="800000"/>
          <a:headEnd/>
          <a:tailEnd/>
        </a:ln>
      </spPr>
    </pic>
    <clientData/>
  </twoCellAnchor>
</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U99"/>
  <sheetViews>
    <sheetView showGridLines="0" view="pageBreakPreview" topLeftCell="A22" zoomScale="126" zoomScaleNormal="85" zoomScaleSheetLayoutView="126" workbookViewId="0">
      <selection activeCell="H25" sqref="H25"/>
    </sheetView>
  </sheetViews>
  <sheetFormatPr baseColWidth="8" defaultRowHeight="14.4"/>
  <cols>
    <col width="12.09765625" customWidth="1" min="1" max="1"/>
    <col width="1.8984375" customWidth="1" min="2" max="2"/>
    <col width="8.8984375" customWidth="1" min="3" max="3"/>
    <col width="7.8984375" customWidth="1" min="4" max="4"/>
    <col width="15" customWidth="1" min="5" max="5"/>
    <col width="5.796875" customWidth="1" min="6" max="6"/>
    <col width="8.19921875" bestFit="1" customWidth="1" min="7" max="7"/>
    <col width="7.69921875" customWidth="1" min="8" max="8"/>
    <col width="21" customWidth="1" min="9" max="9"/>
  </cols>
  <sheetData>
    <row r="1" ht="15" customFormat="1" customHeight="1" s="1" thickTop="1">
      <c r="A1" s="213" t="inlineStr">
        <is>
          <t>COMMERCIAL INVOICE</t>
        </is>
      </c>
      <c r="B1" s="214" t="n"/>
      <c r="C1" s="214" t="n"/>
      <c r="D1" s="214" t="n"/>
      <c r="E1" s="214" t="n"/>
      <c r="F1" s="214" t="n"/>
      <c r="G1" s="214" t="n"/>
      <c r="H1" s="214" t="n"/>
      <c r="I1" s="215" t="n"/>
    </row>
    <row r="2" ht="15" customFormat="1" customHeight="1" s="1" thickBot="1">
      <c r="A2" s="216" t="n"/>
      <c r="B2" s="217" t="n"/>
      <c r="C2" s="217" t="n"/>
      <c r="D2" s="217" t="n"/>
      <c r="E2" s="217" t="n"/>
      <c r="F2" s="217" t="n"/>
      <c r="G2" s="217" t="n"/>
      <c r="H2" s="217" t="n"/>
      <c r="I2" s="218" t="n"/>
    </row>
    <row r="3" ht="17.1" customFormat="1" customHeight="1" s="1" thickTop="1">
      <c r="A3" s="5" t="inlineStr">
        <is>
          <t>SELLER/MANUFACTURER</t>
        </is>
      </c>
      <c r="B3" s="6" t="n"/>
      <c r="C3" s="6" t="n"/>
      <c r="D3" s="6" t="n"/>
      <c r="E3" s="6" t="n"/>
      <c r="F3" s="5" t="inlineStr">
        <is>
          <t>INVOICE NO : TS-260511-01</t>
        </is>
      </c>
      <c r="G3" s="6" t="n"/>
      <c r="H3" s="6" t="n"/>
      <c r="I3" s="7" t="n"/>
    </row>
    <row r="4" ht="17.1" customFormat="1" customHeight="1" s="1" thickBot="1">
      <c r="A4" s="8" t="inlineStr">
        <is>
          <t>DAEYANG ELECTRIC CO LTD</t>
        </is>
      </c>
      <c r="B4" s="9" t="n"/>
      <c r="C4" s="9" t="n"/>
      <c r="D4" s="9" t="n"/>
      <c r="E4" s="10" t="n"/>
      <c r="F4" s="17" t="inlineStr">
        <is>
          <t>INVOICE DATE : 11-MAY-2026</t>
        </is>
      </c>
      <c r="G4" s="12" t="n"/>
      <c r="H4" s="12" t="n"/>
      <c r="I4" s="13" t="n"/>
    </row>
    <row r="5" ht="17.1" customFormat="1" customHeight="1" s="1" thickTop="1">
      <c r="A5" s="11" t="inlineStr">
        <is>
          <t xml:space="preserve">16 Venture-ro 100beon-gil, Yeonsu-gu, </t>
        </is>
      </c>
      <c r="B5" s="12" t="n"/>
      <c r="C5" s="12" t="n"/>
      <c r="D5" s="12" t="n"/>
      <c r="E5" s="12" t="n"/>
      <c r="F5" s="5" t="inlineStr">
        <is>
          <t>L/C NO.  &amp;  DATE</t>
        </is>
      </c>
      <c r="G5" s="6" t="n"/>
      <c r="H5" s="6" t="n"/>
      <c r="I5" s="7" t="n"/>
    </row>
    <row r="6" ht="17.1" customFormat="1" customHeight="1" s="1" thickBot="1">
      <c r="A6" s="11" t="inlineStr">
        <is>
          <t>Incheon, SOUTH KOREA. (22013)</t>
        </is>
      </c>
      <c r="B6" s="12" t="n"/>
      <c r="C6" s="12" t="n"/>
      <c r="D6" s="12" t="n"/>
      <c r="E6" s="12" t="n"/>
      <c r="F6" s="14" t="n"/>
      <c r="G6" s="15" t="n"/>
      <c r="H6" s="15" t="n"/>
      <c r="I6" s="16" t="n"/>
    </row>
    <row r="7" ht="17.1" customFormat="1" customHeight="1" s="1" thickTop="1">
      <c r="A7" s="11" t="inlineStr">
        <is>
          <t>TEL: +82 32 830 5520</t>
        </is>
      </c>
      <c r="B7" s="12" t="n"/>
      <c r="C7" s="12" t="n"/>
      <c r="D7" s="12" t="n"/>
      <c r="E7" s="12" t="n"/>
      <c r="F7" s="17" t="inlineStr">
        <is>
          <t>P/O NO.  &amp;  DATE</t>
        </is>
      </c>
      <c r="G7" s="12" t="n"/>
      <c r="H7" s="12" t="n"/>
      <c r="I7" s="13" t="n"/>
    </row>
    <row r="8" ht="17.1" customFormat="1" customHeight="1" s="1" thickBot="1">
      <c r="A8" s="14" t="inlineStr">
        <is>
          <t>FAX: +82 32 830 5509</t>
        </is>
      </c>
      <c r="B8" s="15" t="n"/>
      <c r="C8" s="15" t="n"/>
      <c r="D8" s="15" t="n"/>
      <c r="E8" s="16" t="n"/>
      <c r="F8" s="132" t="inlineStr">
        <is>
          <t>CGDD2512177314</t>
        </is>
      </c>
      <c r="G8" s="217" t="n"/>
      <c r="H8" s="15" t="n"/>
      <c r="I8" s="16" t="n"/>
    </row>
    <row r="9" ht="16.5" customFormat="1" customHeight="1" s="1" thickTop="1">
      <c r="A9" s="5" t="inlineStr">
        <is>
          <t>CONSIGNEE</t>
        </is>
      </c>
      <c r="B9" s="6" t="n"/>
      <c r="C9" s="6" t="n"/>
      <c r="D9" s="6" t="n"/>
      <c r="E9" s="7" t="n"/>
      <c r="F9" s="18" t="inlineStr">
        <is>
          <t>BUYER(NOTIFY PARTY)</t>
        </is>
      </c>
      <c r="G9" s="12" t="n"/>
      <c r="H9" s="12" t="n"/>
      <c r="I9" s="13" t="n"/>
    </row>
    <row r="10" ht="28.2" customFormat="1" customHeight="1" s="1">
      <c r="A10" s="219" t="inlineStr">
        <is>
          <t>Shanghai Mingxuan International Trade CO., LTD</t>
        </is>
      </c>
      <c r="E10" s="220" t="n"/>
      <c r="F10" s="12" t="inlineStr">
        <is>
          <t>NASN Automotive Technology (Hangzhou) Co., Ltd.</t>
        </is>
      </c>
      <c r="G10" s="12" t="n"/>
      <c r="H10" s="12" t="n"/>
      <c r="I10" s="13" t="n"/>
    </row>
    <row r="11" ht="33.45" customFormat="1" customHeight="1" s="1">
      <c r="A11" s="219" t="inlineStr">
        <is>
          <t xml:space="preserve">Room 1102,No.228 Ningguo Road, Yangpu District, </t>
        </is>
      </c>
      <c r="E11" s="220" t="n"/>
      <c r="F11" s="12" t="inlineStr">
        <is>
          <t xml:space="preserve">358 Hongxing Road, Building 1, </t>
        </is>
      </c>
      <c r="G11" s="12" t="n"/>
      <c r="H11" s="12" t="n"/>
      <c r="I11" s="13" t="n"/>
    </row>
    <row r="12" ht="16.5" customFormat="1" customHeight="1" s="1">
      <c r="A12" s="219" t="inlineStr">
        <is>
          <t>Shanghai, China.</t>
        </is>
      </c>
      <c r="E12" s="220" t="n"/>
      <c r="F12" s="12" t="inlineStr">
        <is>
          <t>Xiaoshan District, Hangzhou, Zhejiang, China</t>
        </is>
      </c>
      <c r="G12" s="12" t="n"/>
      <c r="H12" s="12" t="n"/>
      <c r="I12" s="13" t="n"/>
    </row>
    <row r="13" ht="16.5" customFormat="1" customHeight="1" s="1">
      <c r="A13" s="219" t="n"/>
      <c r="E13" s="220" t="n"/>
      <c r="F13" s="221" t="n"/>
      <c r="I13" s="220" t="n"/>
    </row>
    <row r="14" ht="16.5" customFormat="1" customHeight="1" s="1">
      <c r="A14" s="222" t="n"/>
      <c r="E14" s="220" t="n"/>
      <c r="F14" s="12" t="inlineStr">
        <is>
          <t>PIC: Debao.Chen</t>
        </is>
      </c>
      <c r="G14" s="12" t="n"/>
      <c r="H14" s="12" t="n"/>
      <c r="I14" s="13" t="n"/>
    </row>
    <row r="15" ht="16.5" customFormat="1" customHeight="1" s="1">
      <c r="A15" s="223" t="inlineStr">
        <is>
          <t>PIC:  徐彩妮Annie</t>
        </is>
      </c>
      <c r="E15" s="220" t="n"/>
      <c r="F15" s="12" t="inlineStr">
        <is>
          <t>Mobile: +86-18262408589</t>
        </is>
      </c>
      <c r="G15" s="12" t="n"/>
      <c r="H15" s="12" t="n"/>
      <c r="I15" s="13" t="n"/>
    </row>
    <row r="16" ht="16.5" customFormat="1" customHeight="1" s="1">
      <c r="A16" s="223" t="inlineStr">
        <is>
          <t>Mobile: +86-18916480406</t>
        </is>
      </c>
      <c r="E16" s="220" t="n"/>
      <c r="F16" s="11" t="inlineStr">
        <is>
          <t>e-mail : debao.chen@nasn-auto.com</t>
        </is>
      </c>
      <c r="G16" s="12" t="n"/>
      <c r="H16" s="12" t="n"/>
      <c r="I16" s="13" t="n"/>
    </row>
    <row r="17" ht="16.5" customFormat="1" customHeight="1" s="1" thickBot="1">
      <c r="A17" s="46" t="inlineStr">
        <is>
          <t>e-mail : xucaini@shanghaimingxuan.com</t>
        </is>
      </c>
      <c r="B17" s="47" t="n"/>
      <c r="C17" s="47" t="n"/>
      <c r="D17" s="48" t="n"/>
      <c r="E17" s="49" t="n"/>
      <c r="F17" s="17" t="inlineStr">
        <is>
          <t>COUNTRY OF ORIGIN</t>
        </is>
      </c>
      <c r="G17" s="12" t="n"/>
      <c r="H17" s="15" t="inlineStr">
        <is>
          <t>KOREA</t>
        </is>
      </c>
      <c r="I17" s="13" t="n"/>
    </row>
    <row r="18" ht="16.5" customFormat="1" customHeight="1" s="1" thickBot="1" thickTop="1">
      <c r="A18" s="224" t="n"/>
      <c r="B18" s="225" t="n"/>
      <c r="C18" s="225" t="n"/>
      <c r="D18" s="225" t="n"/>
      <c r="E18" s="226" t="n"/>
      <c r="F18" s="227" t="inlineStr">
        <is>
          <t>VESSEL / FLIGHT : VESSEL</t>
        </is>
      </c>
      <c r="G18" s="225" t="n"/>
      <c r="H18" s="225" t="n"/>
      <c r="I18" s="226" t="n"/>
    </row>
    <row r="19" ht="17.1" customFormat="1" customHeight="1" s="1" thickBot="1" thickTop="1">
      <c r="A19" s="19" t="inlineStr">
        <is>
          <t xml:space="preserve">FROM  </t>
        </is>
      </c>
      <c r="B19" s="164" t="inlineStr">
        <is>
          <t>Incheon, KOREA</t>
        </is>
      </c>
      <c r="C19" s="225" t="n"/>
      <c r="D19" s="225" t="n"/>
      <c r="E19" s="20" t="n"/>
      <c r="F19" s="17" t="inlineStr">
        <is>
          <t>TERMS OF DELIVERY  &amp;  PAYMENT</t>
        </is>
      </c>
      <c r="G19" s="12" t="n"/>
      <c r="H19" s="12" t="n"/>
      <c r="I19" s="13" t="n"/>
    </row>
    <row r="20" ht="17.1" customFormat="1" customHeight="1" s="1" thickBot="1" thickTop="1">
      <c r="A20" s="19" t="inlineStr">
        <is>
          <t>TO</t>
        </is>
      </c>
      <c r="B20" s="175" t="inlineStr">
        <is>
          <t>Shanghai, China</t>
        </is>
      </c>
      <c r="C20" s="225" t="n"/>
      <c r="D20" s="225" t="n"/>
      <c r="E20" s="20" t="n"/>
      <c r="F20" s="14" t="inlineStr">
        <is>
          <t>DAP</t>
        </is>
      </c>
      <c r="G20" s="15" t="n"/>
      <c r="H20" s="15" t="n"/>
      <c r="I20" s="16" t="n"/>
    </row>
    <row r="21" ht="15" customFormat="1" customHeight="1" s="1" thickTop="1">
      <c r="A21" s="228" t="inlineStr">
        <is>
          <t>Category</t>
        </is>
      </c>
      <c r="B21" s="229" t="n"/>
      <c r="C21" s="230" t="inlineStr">
        <is>
          <t xml:space="preserve">DESCRIPTION OF GOODS AND/OR SERVICE </t>
        </is>
      </c>
      <c r="D21" s="214" t="n"/>
      <c r="E21" s="214" t="n"/>
      <c r="F21" s="229" t="n"/>
      <c r="G21" s="231" t="inlineStr">
        <is>
          <t>Q'TY
(EA)</t>
        </is>
      </c>
      <c r="H21" s="231" t="inlineStr">
        <is>
          <t>U/PRICE
(USD)</t>
        </is>
      </c>
      <c r="I21" s="232" t="inlineStr">
        <is>
          <t>AMOUNT
(USD)</t>
        </is>
      </c>
    </row>
    <row r="22" ht="27.75" customFormat="1" customHeight="1" s="1" thickBot="1">
      <c r="A22" s="216" t="n"/>
      <c r="B22" s="233" t="n"/>
      <c r="C22" s="234" t="n"/>
      <c r="D22" s="217" t="n"/>
      <c r="E22" s="217" t="n"/>
      <c r="F22" s="233" t="n"/>
      <c r="G22" s="235" t="n"/>
      <c r="H22" s="235" t="n"/>
      <c r="I22" s="236" t="n"/>
    </row>
    <row r="23" ht="15" customFormat="1" customHeight="1" s="1" thickTop="1">
      <c r="A23" s="187" t="n"/>
      <c r="B23" s="43" t="n"/>
      <c r="C23" s="18" t="n"/>
      <c r="D23" s="18" t="n"/>
      <c r="E23" s="18" t="n"/>
      <c r="F23" s="43" t="n"/>
      <c r="G23" s="21" t="n"/>
      <c r="H23" s="237" t="n"/>
      <c r="I23" s="238" t="n"/>
    </row>
    <row r="24" ht="15" customFormat="1" customHeight="1" s="1">
      <c r="A24" s="111" t="inlineStr">
        <is>
          <t>Product</t>
        </is>
      </c>
      <c r="B24" s="239" t="n"/>
      <c r="C24" s="240" t="inlineStr">
        <is>
          <t>Pressure sensor (SNA120)</t>
        </is>
      </c>
      <c r="F24" s="239" t="n"/>
      <c r="G24" s="241" t="n">
        <v>128216</v>
      </c>
      <c r="H24" s="242" t="n">
        <v>3.238</v>
      </c>
      <c r="I24" s="243">
        <f>G24*H24</f>
        <v/>
      </c>
    </row>
    <row r="25" ht="15" customFormat="1" customHeight="1" s="1">
      <c r="A25" s="111" t="inlineStr">
        <is>
          <t>Brand</t>
        </is>
      </c>
      <c r="B25" s="239" t="n"/>
      <c r="C25" s="240" t="inlineStr">
        <is>
          <t>THE SEN</t>
        </is>
      </c>
      <c r="F25" s="239" t="n"/>
      <c r="G25" s="241" t="n"/>
      <c r="H25" s="244" t="n"/>
      <c r="I25" s="245" t="n"/>
      <c r="J25" s="246" t="n"/>
    </row>
    <row r="26" ht="15" customFormat="1" customHeight="1" s="1">
      <c r="A26" s="109" t="n"/>
      <c r="B26" s="239" t="n"/>
      <c r="C26" s="247" t="n"/>
      <c r="F26" s="239" t="n"/>
      <c r="G26" s="248" t="n"/>
      <c r="H26" s="244" t="n"/>
      <c r="I26" s="249" t="n"/>
    </row>
    <row r="27" ht="15" customFormat="1" customHeight="1" s="1">
      <c r="A27" s="111" t="n"/>
      <c r="B27" s="239" t="n"/>
      <c r="G27" s="25" t="n"/>
      <c r="H27" s="244" t="n"/>
      <c r="I27" s="243" t="n"/>
    </row>
    <row r="28" ht="15" customFormat="1" customHeight="1" s="1">
      <c r="A28" s="54" t="n"/>
      <c r="B28" s="63" t="n"/>
      <c r="C28" s="250" t="n"/>
      <c r="F28" s="239" t="n"/>
      <c r="G28" s="25" t="n"/>
      <c r="H28" s="251" t="n"/>
      <c r="I28" s="252" t="n"/>
    </row>
    <row r="29" ht="15" customFormat="1" customHeight="1" s="1">
      <c r="A29" s="187" t="n"/>
      <c r="B29" s="63" t="n"/>
      <c r="C29" s="191" t="inlineStr">
        <is>
          <t xml:space="preserve"> - PALLET SIZE </t>
        </is>
      </c>
      <c r="E29" s="190" t="inlineStr">
        <is>
          <t xml:space="preserve">1.2MX1.0MX12cm, 7KG </t>
        </is>
      </c>
      <c r="F29" s="239" t="n"/>
      <c r="G29" s="25" t="n"/>
      <c r="H29" s="244" t="n"/>
      <c r="I29" s="243" t="n"/>
    </row>
    <row r="30" ht="15" customFormat="1" customHeight="1" s="1">
      <c r="A30" s="187" t="n"/>
      <c r="B30" s="63" t="n"/>
      <c r="C30" s="206" t="inlineStr">
        <is>
          <t xml:space="preserve"> - BOX AMOUNT</t>
        </is>
      </c>
      <c r="E30" s="208">
        <f>'Packing list'!F24</f>
        <v/>
      </c>
      <c r="F30" s="239" t="n"/>
      <c r="G30" s="25" t="n"/>
      <c r="H30" s="244" t="n"/>
      <c r="I30" s="243" t="n"/>
    </row>
    <row r="31" ht="15" customFormat="1" customHeight="1" s="2">
      <c r="A31" s="172" t="n"/>
      <c r="B31" s="63" t="n"/>
      <c r="C31" s="206" t="inlineStr">
        <is>
          <t xml:space="preserve"> - HS CODE : </t>
        </is>
      </c>
      <c r="E31" s="208" t="inlineStr">
        <is>
          <t>8541.51.1000</t>
        </is>
      </c>
      <c r="F31" s="239" t="n"/>
      <c r="G31" s="25" t="n"/>
      <c r="H31" s="244" t="n"/>
      <c r="I31" s="243" t="n"/>
    </row>
    <row r="32" ht="15" customFormat="1" customHeight="1" s="2">
      <c r="A32" s="172" t="n"/>
      <c r="B32" s="63" t="n"/>
      <c r="C32" s="211" t="inlineStr">
        <is>
          <t xml:space="preserve"> - Total gross weight (kg)</t>
        </is>
      </c>
      <c r="E32" s="210">
        <f>'Packing list'!H28</f>
        <v/>
      </c>
      <c r="F32" s="239" t="n"/>
      <c r="G32" s="25" t="n"/>
      <c r="H32" s="244" t="n"/>
      <c r="I32" s="243" t="n"/>
    </row>
    <row r="33" ht="15" customFormat="1" customHeight="1" s="2">
      <c r="A33" s="172" t="n"/>
      <c r="B33" s="64" t="n"/>
      <c r="C33" s="253" t="n"/>
      <c r="F33" s="239" t="n"/>
      <c r="G33" s="28" t="n"/>
      <c r="H33" s="12" t="n"/>
      <c r="I33" s="29" t="n"/>
    </row>
    <row r="34" ht="15" customFormat="1" customHeight="1" s="2">
      <c r="A34" s="172" t="n"/>
      <c r="B34" s="64" t="n"/>
      <c r="C34" s="254" t="inlineStr">
        <is>
          <t>MADE IN KOREA</t>
        </is>
      </c>
      <c r="F34" s="239" t="n"/>
      <c r="G34" s="28" t="n"/>
      <c r="H34" s="12" t="n"/>
      <c r="I34" s="29" t="n"/>
      <c r="M34" s="158" t="n"/>
    </row>
    <row r="35" ht="15" customFormat="1" customHeight="1" s="2" thickBot="1">
      <c r="A35" s="172" t="n"/>
      <c r="B35" s="92" t="n"/>
      <c r="C35" s="30" t="n"/>
      <c r="D35" s="30" t="n"/>
      <c r="E35" s="30" t="n"/>
      <c r="F35" s="30" t="n"/>
      <c r="G35" s="28" t="n"/>
      <c r="H35" s="12" t="n"/>
      <c r="I35" s="29" t="n"/>
    </row>
    <row r="36" ht="36" customFormat="1" customHeight="1" s="1" thickBot="1" thickTop="1">
      <c r="A36" s="162" t="inlineStr">
        <is>
          <t>TOTAL AMOUNT</t>
        </is>
      </c>
      <c r="B36" s="225" t="n"/>
      <c r="C36" s="160" t="inlineStr">
        <is>
          <t>Pallet (ea)</t>
        </is>
      </c>
      <c r="D36" s="255">
        <f>'Packing list'!G28</f>
        <v/>
      </c>
      <c r="E36" s="160" t="inlineStr">
        <is>
          <t>BOX (ea)</t>
        </is>
      </c>
      <c r="F36" s="256">
        <f>'Packing list'!F24</f>
        <v/>
      </c>
      <c r="G36" s="160" t="inlineStr">
        <is>
          <t>USD</t>
        </is>
      </c>
      <c r="H36" s="225" t="n"/>
      <c r="I36" s="257">
        <f>I24</f>
        <v/>
      </c>
      <c r="J36" s="91" t="n"/>
    </row>
    <row r="37" ht="15" customFormat="1" customHeight="1" s="1" thickTop="1">
      <c r="A37" s="17" t="n"/>
      <c r="B37" s="31" t="n"/>
      <c r="C37" s="31" t="n"/>
      <c r="D37" s="32" t="n"/>
      <c r="E37" s="33" t="n"/>
      <c r="F37" s="33" t="n"/>
      <c r="G37" s="33" t="n"/>
      <c r="H37" s="33" t="n"/>
      <c r="I37" s="34" t="n"/>
    </row>
    <row r="38" ht="15" customFormat="1" customHeight="1" s="1">
      <c r="A38" s="187" t="n"/>
      <c r="B38" s="33" t="n"/>
      <c r="C38" s="33" t="n"/>
      <c r="D38" s="33" t="n"/>
      <c r="E38" s="33" t="n"/>
      <c r="F38" s="35" t="inlineStr">
        <is>
          <t>SIGNED BY</t>
        </is>
      </c>
      <c r="G38" s="33" t="n"/>
      <c r="H38" s="33" t="n"/>
      <c r="I38" s="34" t="n"/>
    </row>
    <row r="39" ht="15" customFormat="1" customHeight="1" s="1">
      <c r="A39" s="17" t="n"/>
      <c r="B39" s="31" t="n"/>
      <c r="C39" s="31" t="n"/>
      <c r="D39" s="36" t="n"/>
      <c r="E39" s="33" t="n"/>
      <c r="F39" s="36" t="n"/>
      <c r="G39" s="33" t="n"/>
      <c r="H39" s="33" t="n"/>
      <c r="I39" s="34" t="n"/>
    </row>
    <row r="40" ht="15" customFormat="1" customHeight="1" s="1">
      <c r="A40" s="17" t="n"/>
      <c r="B40" s="31" t="n"/>
      <c r="C40" s="31" t="n"/>
      <c r="D40" s="36" t="n"/>
      <c r="E40" s="31" t="n"/>
      <c r="F40" s="36" t="n"/>
      <c r="G40" s="33" t="n"/>
      <c r="H40" s="33" t="n"/>
      <c r="I40" s="34" t="n"/>
    </row>
    <row r="41" ht="15" customFormat="1" customHeight="1" s="1">
      <c r="A41" s="17" t="n"/>
      <c r="B41" s="31" t="n"/>
      <c r="C41" s="31" t="n"/>
      <c r="D41" s="36" t="n"/>
      <c r="E41" s="31" t="n"/>
      <c r="F41" s="33" t="n"/>
      <c r="G41" s="33" t="n"/>
      <c r="H41" s="33" t="n"/>
      <c r="I41" s="34" t="n"/>
    </row>
    <row r="42" ht="15" customFormat="1" customHeight="1" s="1">
      <c r="A42" s="17" t="n"/>
      <c r="B42" s="31" t="n"/>
      <c r="C42" s="31" t="n"/>
      <c r="D42" s="36" t="n"/>
      <c r="E42" s="31" t="n"/>
      <c r="F42" s="33" t="n"/>
      <c r="G42" s="33" t="n"/>
      <c r="H42" s="33" t="n"/>
      <c r="I42" s="34" t="n"/>
    </row>
    <row r="43" ht="15" customFormat="1" customHeight="1" s="1" thickBot="1">
      <c r="A43" s="17" t="n"/>
      <c r="B43" s="31" t="n"/>
      <c r="C43" s="31" t="n"/>
      <c r="D43" s="36" t="n"/>
      <c r="E43" s="31" t="n"/>
      <c r="F43" s="37" t="n"/>
      <c r="G43" s="37" t="n"/>
      <c r="H43" s="37" t="n"/>
      <c r="I43" s="34" t="n"/>
    </row>
    <row r="44" ht="15" customFormat="1" customHeight="1" s="1" thickBot="1">
      <c r="A44" s="38" t="n"/>
      <c r="B44" s="39" t="n"/>
      <c r="C44" s="39" t="n"/>
      <c r="D44" s="40" t="n"/>
      <c r="E44" s="39" t="n"/>
      <c r="F44" s="41" t="n"/>
      <c r="G44" s="41" t="n"/>
      <c r="H44" s="41" t="n"/>
      <c r="I44" s="42" t="n"/>
    </row>
    <row r="45" ht="15" customFormat="1" customHeight="1" s="1" thickTop="1">
      <c r="A45" s="3" t="n"/>
      <c r="B45" s="3" t="n"/>
      <c r="C45" s="3" t="n"/>
      <c r="D45" s="3" t="n"/>
      <c r="E45" s="3" t="n"/>
      <c r="F45" s="3" t="n"/>
      <c r="G45" s="3" t="n"/>
      <c r="H45" s="3" t="n"/>
      <c r="I45" s="3" t="n"/>
    </row>
    <row r="46" customFormat="1" s="1">
      <c r="A46" s="3" t="n"/>
      <c r="B46" s="3" t="n"/>
      <c r="C46" s="3" t="n"/>
      <c r="D46" s="3" t="n"/>
      <c r="E46" s="3" t="n"/>
      <c r="F46" s="3" t="n"/>
      <c r="G46" s="3" t="n"/>
      <c r="H46" s="3" t="n"/>
      <c r="I46" s="3" t="n"/>
    </row>
    <row r="47" customFormat="1" s="1">
      <c r="A47" s="3" t="n"/>
      <c r="B47" s="3" t="n"/>
      <c r="C47" s="3" t="n"/>
      <c r="D47" s="3" t="n"/>
      <c r="E47" s="3" t="n"/>
      <c r="F47" s="3" t="n"/>
      <c r="G47" s="3" t="n"/>
      <c r="H47" s="3" t="n"/>
      <c r="I47" s="3" t="n"/>
    </row>
    <row r="48" customFormat="1" s="1">
      <c r="A48" s="3" t="n"/>
      <c r="B48" s="3" t="n"/>
      <c r="C48" s="3" t="n"/>
      <c r="D48" s="3" t="n"/>
      <c r="E48" s="3" t="n"/>
      <c r="F48" s="3" t="n"/>
      <c r="G48" s="3" t="n"/>
      <c r="H48" s="3" t="n"/>
      <c r="I48" s="3" t="n"/>
    </row>
    <row r="49" customFormat="1" s="1">
      <c r="A49" s="3" t="n"/>
      <c r="B49" s="3" t="n"/>
      <c r="C49" s="3" t="n"/>
      <c r="D49" s="3" t="n"/>
      <c r="E49" s="3" t="n"/>
      <c r="F49" s="3" t="n"/>
      <c r="G49" s="3" t="n"/>
      <c r="H49" s="3" t="n"/>
      <c r="I49" s="3" t="n"/>
    </row>
    <row r="50" customFormat="1" s="1">
      <c r="A50" s="3" t="n"/>
      <c r="B50" s="3" t="n"/>
      <c r="C50" s="3" t="n"/>
      <c r="D50" s="3" t="n"/>
      <c r="E50" s="3" t="n"/>
      <c r="F50" s="3" t="n"/>
      <c r="G50" s="3" t="n"/>
      <c r="H50" s="3" t="n"/>
      <c r="I50" s="3" t="n"/>
    </row>
    <row r="51" customFormat="1" s="1">
      <c r="A51" s="3" t="n"/>
      <c r="B51" s="3" t="n"/>
      <c r="C51" s="3" t="n"/>
      <c r="D51" s="3" t="n"/>
      <c r="E51" s="3" t="n"/>
      <c r="F51" s="3" t="n"/>
      <c r="G51" s="3" t="n"/>
      <c r="H51" s="3" t="n"/>
      <c r="I51" s="3" t="n"/>
    </row>
    <row r="52" customFormat="1" s="1">
      <c r="A52" s="3" t="n"/>
      <c r="B52" s="3" t="n"/>
      <c r="C52" s="3" t="n"/>
      <c r="D52" s="3" t="n"/>
      <c r="E52" s="3" t="n"/>
      <c r="F52" s="3" t="n"/>
      <c r="G52" s="3" t="n"/>
      <c r="H52" s="3" t="n"/>
      <c r="I52" s="3" t="n"/>
    </row>
    <row r="53" customFormat="1" s="1">
      <c r="A53" s="3" t="n"/>
      <c r="B53" s="3" t="n"/>
      <c r="C53" s="3" t="n"/>
      <c r="D53" s="3" t="n"/>
      <c r="E53" s="3" t="n"/>
      <c r="F53" s="3" t="n"/>
      <c r="G53" s="3" t="n"/>
      <c r="H53" s="3" t="n"/>
      <c r="I53" s="3" t="n"/>
    </row>
    <row r="54" customFormat="1" s="1">
      <c r="A54" s="3" t="n"/>
      <c r="B54" s="3" t="n"/>
      <c r="C54" s="3" t="n"/>
      <c r="D54" s="3" t="n"/>
      <c r="E54" s="3" t="n"/>
      <c r="F54" s="3" t="n"/>
      <c r="G54" s="3" t="n"/>
      <c r="H54" s="3" t="n"/>
      <c r="I54" s="3" t="n"/>
    </row>
    <row r="55" customFormat="1" s="1">
      <c r="A55" s="3" t="n"/>
      <c r="B55" s="3" t="n"/>
      <c r="C55" s="3" t="n"/>
      <c r="D55" s="3" t="n"/>
      <c r="E55" s="3" t="n"/>
      <c r="F55" s="3" t="n"/>
      <c r="G55" s="3" t="n"/>
      <c r="H55" s="3" t="n"/>
      <c r="I55" s="3" t="n"/>
    </row>
    <row r="56" ht="15" customHeight="1">
      <c r="A56" s="4" t="n"/>
      <c r="B56" s="4" t="n"/>
      <c r="C56" s="4" t="n"/>
      <c r="D56" s="4" t="n"/>
      <c r="E56" s="4" t="n"/>
      <c r="F56" s="4" t="n"/>
      <c r="G56" s="4" t="n"/>
      <c r="H56" s="4" t="n"/>
      <c r="I56" s="4" t="n"/>
    </row>
    <row r="57" ht="15" customHeight="1">
      <c r="A57" s="4" t="n"/>
      <c r="B57" s="4" t="n"/>
      <c r="C57" s="4" t="n"/>
      <c r="D57" s="4" t="n"/>
      <c r="E57" s="4" t="n"/>
      <c r="F57" s="4" t="n"/>
      <c r="G57" s="4" t="n"/>
      <c r="H57" s="4" t="n"/>
      <c r="I57" s="4" t="n"/>
    </row>
    <row r="58" ht="15" customHeight="1">
      <c r="A58" s="4" t="n"/>
      <c r="B58" s="4" t="n"/>
      <c r="C58" s="4" t="n"/>
      <c r="D58" s="4" t="n"/>
      <c r="E58" s="4" t="n"/>
      <c r="F58" s="4" t="n"/>
      <c r="G58" s="4" t="n"/>
      <c r="H58" s="4" t="n"/>
      <c r="I58" s="4" t="n"/>
    </row>
    <row r="59" ht="15" customHeight="1">
      <c r="A59" s="4" t="n"/>
      <c r="B59" s="4" t="n"/>
      <c r="C59" s="4" t="n"/>
      <c r="D59" s="4" t="n"/>
      <c r="E59" s="4" t="n"/>
      <c r="F59" s="4" t="n"/>
      <c r="G59" s="4" t="n"/>
      <c r="H59" s="4" t="n"/>
      <c r="I59" s="4" t="n"/>
    </row>
    <row r="60" ht="15" customHeight="1">
      <c r="A60" s="4" t="n"/>
      <c r="B60" s="4" t="n"/>
      <c r="C60" s="4" t="n"/>
      <c r="D60" s="4" t="n"/>
      <c r="E60" s="4" t="n"/>
      <c r="F60" s="4" t="n"/>
      <c r="G60" s="4" t="n"/>
      <c r="H60" s="4" t="n"/>
      <c r="I60" s="4" t="n"/>
    </row>
    <row r="61" ht="15" customHeight="1">
      <c r="A61" s="4" t="n"/>
      <c r="B61" s="4" t="n"/>
      <c r="C61" s="4" t="n"/>
      <c r="D61" s="4" t="n"/>
      <c r="E61" s="4" t="n"/>
      <c r="F61" s="4" t="n"/>
      <c r="G61" s="4" t="n"/>
      <c r="H61" s="4" t="n"/>
      <c r="I61" s="4" t="n"/>
    </row>
    <row r="62" ht="15" customHeight="1">
      <c r="A62" s="4" t="n"/>
      <c r="B62" s="4" t="n"/>
      <c r="C62" s="4" t="n"/>
      <c r="D62" s="4" t="n"/>
      <c r="E62" s="4" t="n"/>
      <c r="F62" s="4" t="n"/>
      <c r="G62" s="4" t="n"/>
      <c r="H62" s="4" t="n"/>
      <c r="I62" s="4" t="n"/>
    </row>
    <row r="63" ht="15" customHeight="1">
      <c r="A63" s="4" t="n"/>
      <c r="B63" s="4" t="n"/>
      <c r="C63" s="4" t="n"/>
      <c r="D63" s="4" t="n"/>
      <c r="E63" s="4" t="n"/>
      <c r="F63" s="4" t="n"/>
      <c r="G63" s="4" t="n"/>
      <c r="H63" s="4" t="n"/>
      <c r="I63" s="4" t="n"/>
    </row>
    <row r="64" ht="15" customHeight="1">
      <c r="A64" s="4" t="n"/>
      <c r="B64" s="4" t="n"/>
      <c r="C64" s="4" t="n"/>
      <c r="D64" s="4" t="n"/>
      <c r="E64" s="4" t="n"/>
      <c r="F64" s="4" t="n"/>
      <c r="G64" s="4" t="n"/>
      <c r="H64" s="4" t="n"/>
      <c r="I64" s="4" t="n"/>
    </row>
    <row r="65" ht="15" customHeight="1">
      <c r="A65" s="4" t="n"/>
      <c r="B65" s="4" t="n"/>
      <c r="C65" s="4" t="n"/>
      <c r="D65" s="4" t="n"/>
      <c r="E65" s="4" t="n"/>
      <c r="F65" s="4" t="n"/>
      <c r="G65" s="4" t="n"/>
      <c r="H65" s="4" t="n"/>
      <c r="I65" s="4" t="n"/>
    </row>
    <row r="66" ht="15" customHeight="1">
      <c r="A66" s="4" t="n"/>
      <c r="B66" s="4" t="n"/>
      <c r="C66" s="4" t="n"/>
      <c r="D66" s="4" t="n"/>
      <c r="E66" s="4" t="n"/>
      <c r="F66" s="4" t="n"/>
      <c r="G66" s="4" t="n"/>
      <c r="H66" s="4" t="n"/>
      <c r="I66" s="4" t="n"/>
    </row>
    <row r="67" ht="15" customHeight="1">
      <c r="A67" s="4" t="n"/>
      <c r="B67" s="4" t="n"/>
      <c r="C67" s="4" t="n"/>
      <c r="D67" s="4" t="n"/>
      <c r="E67" s="4" t="n"/>
      <c r="F67" s="4" t="n"/>
      <c r="G67" s="4" t="n"/>
      <c r="H67" s="4" t="n"/>
      <c r="I67" s="4" t="n"/>
    </row>
    <row r="68" ht="15" customHeight="1">
      <c r="A68" s="4" t="n"/>
      <c r="B68" s="4" t="n"/>
      <c r="C68" s="4" t="n"/>
      <c r="D68" s="4" t="n"/>
      <c r="E68" s="4" t="n"/>
      <c r="F68" s="4" t="n"/>
      <c r="G68" s="4" t="n"/>
      <c r="H68" s="4" t="n"/>
      <c r="I68" s="4" t="n"/>
    </row>
    <row r="69" ht="15" customHeight="1">
      <c r="A69" s="4" t="n"/>
      <c r="B69" s="4" t="n"/>
      <c r="C69" s="4" t="n"/>
      <c r="D69" s="4" t="n"/>
      <c r="E69" s="4" t="n"/>
      <c r="F69" s="4" t="n"/>
      <c r="G69" s="4" t="n"/>
      <c r="H69" s="4" t="n"/>
      <c r="I69" s="4" t="n"/>
    </row>
    <row r="70" ht="15" customHeight="1">
      <c r="A70" s="4" t="n"/>
      <c r="B70" s="4" t="n"/>
      <c r="C70" s="4" t="n"/>
      <c r="D70" s="4" t="n"/>
      <c r="E70" s="4" t="n"/>
      <c r="F70" s="4" t="n"/>
      <c r="G70" s="4" t="n"/>
      <c r="H70" s="4" t="n"/>
      <c r="I70" s="4" t="n"/>
    </row>
    <row r="71" ht="15" customHeight="1">
      <c r="A71" s="4" t="n"/>
      <c r="B71" s="4" t="n"/>
      <c r="C71" s="4" t="n"/>
      <c r="D71" s="4" t="n"/>
      <c r="E71" s="4" t="n"/>
      <c r="F71" s="4" t="n"/>
      <c r="G71" s="4" t="n"/>
      <c r="H71" s="4" t="n"/>
      <c r="I71" s="4" t="n"/>
    </row>
    <row r="72" ht="15" customHeight="1">
      <c r="A72" s="4" t="n"/>
      <c r="B72" s="4" t="n"/>
      <c r="C72" s="4" t="n"/>
      <c r="D72" s="4" t="n"/>
      <c r="E72" s="4" t="n"/>
      <c r="F72" s="4" t="n"/>
      <c r="G72" s="4" t="n"/>
      <c r="H72" s="4" t="n"/>
      <c r="I72" s="4" t="n"/>
    </row>
    <row r="73" ht="15" customHeight="1">
      <c r="A73" s="4" t="n"/>
      <c r="B73" s="4" t="n"/>
      <c r="C73" s="4" t="n"/>
      <c r="D73" s="4" t="n"/>
      <c r="E73" s="4" t="n"/>
      <c r="F73" s="4" t="n"/>
      <c r="G73" s="4" t="n"/>
      <c r="H73" s="4" t="n"/>
      <c r="I73" s="4" t="n"/>
    </row>
    <row r="74" ht="15" customHeight="1">
      <c r="A74" s="4" t="n"/>
      <c r="B74" s="4" t="n"/>
      <c r="C74" s="4" t="n"/>
      <c r="D74" s="4" t="n"/>
      <c r="E74" s="4" t="n"/>
      <c r="F74" s="4" t="n"/>
      <c r="G74" s="4" t="n"/>
      <c r="H74" s="4" t="n"/>
      <c r="I74" s="4" t="n"/>
    </row>
    <row r="75" ht="15" customHeight="1">
      <c r="A75" s="4" t="n"/>
      <c r="B75" s="4" t="n"/>
      <c r="C75" s="4" t="n"/>
      <c r="D75" s="4" t="n"/>
      <c r="E75" s="4" t="n"/>
      <c r="F75" s="4" t="n"/>
      <c r="G75" s="4" t="n"/>
      <c r="H75" s="4" t="n"/>
      <c r="I75" s="4" t="n"/>
    </row>
    <row r="76" ht="15" customHeight="1">
      <c r="A76" s="4" t="n"/>
      <c r="B76" s="4" t="n"/>
      <c r="C76" s="4" t="n"/>
      <c r="D76" s="4" t="n"/>
      <c r="E76" s="4" t="n"/>
      <c r="F76" s="4" t="n"/>
      <c r="G76" s="4" t="n"/>
      <c r="H76" s="4" t="n"/>
      <c r="I76" s="4" t="n"/>
    </row>
    <row r="77" ht="15" customHeight="1">
      <c r="A77" s="4" t="n"/>
      <c r="B77" s="4" t="n"/>
      <c r="C77" s="4" t="n"/>
      <c r="D77" s="4" t="n"/>
      <c r="E77" s="4" t="n"/>
      <c r="F77" s="4" t="n"/>
      <c r="G77" s="4" t="n"/>
      <c r="H77" s="4" t="n"/>
      <c r="I77" s="4" t="n"/>
    </row>
    <row r="78" ht="15" customHeight="1">
      <c r="A78" s="4" t="n"/>
      <c r="B78" s="4" t="n"/>
      <c r="C78" s="4" t="n"/>
      <c r="D78" s="4" t="n"/>
      <c r="E78" s="4" t="n"/>
      <c r="F78" s="4" t="n"/>
      <c r="G78" s="4" t="n"/>
      <c r="H78" s="4" t="n"/>
      <c r="I78" s="4" t="n"/>
    </row>
    <row r="79" ht="15" customHeight="1">
      <c r="A79" s="4" t="n"/>
      <c r="B79" s="4" t="n"/>
      <c r="C79" s="4" t="n"/>
      <c r="D79" s="4" t="n"/>
      <c r="E79" s="4" t="n"/>
      <c r="F79" s="4" t="n"/>
      <c r="G79" s="4" t="n"/>
      <c r="H79" s="4" t="n"/>
      <c r="I79" s="4" t="n"/>
    </row>
    <row r="80" ht="15" customHeight="1">
      <c r="A80" s="4" t="n"/>
      <c r="B80" s="4" t="n"/>
      <c r="C80" s="4" t="n"/>
      <c r="D80" s="4" t="n"/>
      <c r="E80" s="4" t="n"/>
      <c r="F80" s="4" t="n"/>
      <c r="G80" s="4" t="n"/>
      <c r="H80" s="4" t="n"/>
      <c r="I80" s="4" t="n"/>
    </row>
    <row r="81" ht="15" customHeight="1">
      <c r="A81" s="4" t="n"/>
      <c r="B81" s="4" t="n"/>
      <c r="C81" s="4" t="n"/>
      <c r="D81" s="4" t="n"/>
      <c r="E81" s="4" t="n"/>
      <c r="F81" s="4" t="n"/>
      <c r="G81" s="4" t="n"/>
      <c r="H81" s="4" t="n"/>
      <c r="I81" s="4" t="n"/>
    </row>
    <row r="82" ht="15" customHeight="1">
      <c r="A82" s="4" t="n"/>
      <c r="B82" s="4" t="n"/>
      <c r="C82" s="4" t="n"/>
      <c r="D82" s="4" t="n"/>
      <c r="E82" s="4" t="n"/>
      <c r="F82" s="4" t="n"/>
      <c r="G82" s="4" t="n"/>
      <c r="H82" s="4" t="n"/>
      <c r="I82" s="4" t="n"/>
    </row>
    <row r="83" ht="15" customHeight="1">
      <c r="A83" s="4" t="n"/>
      <c r="B83" s="4" t="n"/>
      <c r="C83" s="4" t="n"/>
      <c r="D83" s="4" t="n"/>
      <c r="E83" s="4" t="n"/>
      <c r="F83" s="4" t="n"/>
      <c r="G83" s="4" t="n"/>
      <c r="H83" s="4" t="n"/>
      <c r="I83" s="4" t="n"/>
    </row>
    <row r="84" ht="15" customHeight="1">
      <c r="A84" s="4" t="n"/>
      <c r="B84" s="4" t="n"/>
      <c r="C84" s="4" t="n"/>
      <c r="D84" s="4" t="n"/>
      <c r="E84" s="4" t="n"/>
      <c r="F84" s="4" t="n"/>
      <c r="G84" s="4" t="n"/>
      <c r="H84" s="4" t="n"/>
      <c r="I84" s="4" t="n"/>
    </row>
    <row r="85" ht="15" customHeight="1">
      <c r="A85" s="4" t="n"/>
      <c r="B85" s="4" t="n"/>
      <c r="C85" s="4" t="n"/>
      <c r="D85" s="4" t="n"/>
      <c r="E85" s="4" t="n"/>
      <c r="F85" s="4" t="n"/>
      <c r="G85" s="4" t="n"/>
      <c r="H85" s="4" t="n"/>
      <c r="I85" s="4" t="n"/>
    </row>
    <row r="86" ht="15" customHeight="1">
      <c r="A86" s="4" t="n"/>
      <c r="B86" s="4" t="n"/>
      <c r="C86" s="4" t="n"/>
      <c r="D86" s="4" t="n"/>
      <c r="E86" s="4" t="n"/>
      <c r="F86" s="4" t="n"/>
      <c r="G86" s="4" t="n"/>
      <c r="H86" s="4" t="n"/>
      <c r="I86" s="4" t="n"/>
    </row>
    <row r="87" ht="15" customHeight="1">
      <c r="A87" s="4" t="n"/>
      <c r="B87" s="4" t="n"/>
      <c r="C87" s="4" t="n"/>
      <c r="D87" s="4" t="n"/>
      <c r="E87" s="4" t="n"/>
      <c r="F87" s="4" t="n"/>
      <c r="G87" s="4" t="n"/>
      <c r="H87" s="4" t="n"/>
      <c r="I87" s="4" t="n"/>
    </row>
    <row r="88" ht="15" customHeight="1">
      <c r="A88" s="4" t="n"/>
      <c r="B88" s="4" t="n"/>
      <c r="C88" s="4" t="n"/>
      <c r="D88" s="4" t="n"/>
      <c r="E88" s="4" t="n"/>
      <c r="F88" s="4" t="n"/>
      <c r="G88" s="4" t="n"/>
      <c r="H88" s="4" t="n"/>
      <c r="I88" s="4" t="n"/>
    </row>
    <row r="89" ht="15" customHeight="1">
      <c r="A89" s="4" t="n"/>
      <c r="B89" s="4" t="n"/>
      <c r="C89" s="4" t="n"/>
      <c r="D89" s="4" t="n"/>
      <c r="E89" s="4" t="n"/>
      <c r="F89" s="4" t="n"/>
      <c r="G89" s="4" t="n"/>
      <c r="H89" s="4" t="n"/>
      <c r="I89" s="4" t="n"/>
    </row>
    <row r="90" ht="15" customHeight="1">
      <c r="A90" s="4" t="n"/>
      <c r="B90" s="4" t="n"/>
      <c r="C90" s="4" t="n"/>
      <c r="D90" s="4" t="n"/>
      <c r="E90" s="4" t="n"/>
      <c r="F90" s="4" t="n"/>
      <c r="G90" s="4" t="n"/>
      <c r="H90" s="4" t="n"/>
      <c r="I90" s="4" t="n"/>
    </row>
    <row r="91" ht="15" customHeight="1">
      <c r="A91" s="4" t="n"/>
      <c r="B91" s="4" t="n"/>
      <c r="C91" s="4" t="n"/>
      <c r="D91" s="4" t="n"/>
      <c r="E91" s="4" t="n"/>
      <c r="F91" s="4" t="n"/>
      <c r="G91" s="4" t="n"/>
      <c r="H91" s="4" t="n"/>
      <c r="I91" s="4" t="n"/>
    </row>
    <row r="92" ht="15" customHeight="1">
      <c r="A92" s="4" t="n"/>
      <c r="B92" s="4" t="n"/>
      <c r="C92" s="4" t="n"/>
      <c r="D92" s="4" t="n"/>
      <c r="E92" s="4" t="n"/>
      <c r="F92" s="4" t="n"/>
      <c r="G92" s="4" t="n"/>
      <c r="H92" s="4" t="n"/>
      <c r="I92" s="4" t="n"/>
    </row>
    <row r="93" ht="15" customHeight="1">
      <c r="A93" s="4" t="n"/>
      <c r="B93" s="4" t="n"/>
      <c r="C93" s="4" t="n"/>
      <c r="D93" s="4" t="n"/>
      <c r="E93" s="4" t="n"/>
      <c r="F93" s="4" t="n"/>
      <c r="G93" s="4" t="n"/>
      <c r="H93" s="4" t="n"/>
      <c r="I93" s="4" t="n"/>
    </row>
    <row r="94" ht="15" customHeight="1">
      <c r="A94" s="4" t="n"/>
      <c r="B94" s="4" t="n"/>
      <c r="C94" s="4" t="n"/>
      <c r="D94" s="4" t="n"/>
      <c r="E94" s="4" t="n"/>
      <c r="F94" s="4" t="n"/>
      <c r="G94" s="4" t="n"/>
      <c r="H94" s="4" t="n"/>
      <c r="I94" s="4" t="n"/>
    </row>
    <row r="95" ht="15" customHeight="1">
      <c r="A95" s="4" t="n"/>
      <c r="B95" s="4" t="n"/>
      <c r="C95" s="4" t="n"/>
      <c r="D95" s="4" t="n"/>
      <c r="E95" s="4" t="n"/>
      <c r="F95" s="4" t="n"/>
      <c r="G95" s="4" t="n"/>
      <c r="H95" s="4" t="n"/>
      <c r="I95" s="4" t="n"/>
    </row>
    <row r="96" ht="15" customHeight="1">
      <c r="A96" s="4" t="n"/>
      <c r="B96" s="4" t="n"/>
      <c r="C96" s="4" t="n"/>
      <c r="D96" s="4" t="n"/>
      <c r="E96" s="4" t="n"/>
      <c r="F96" s="4" t="n"/>
      <c r="G96" s="4" t="n"/>
      <c r="H96" s="4" t="n"/>
      <c r="I96" s="4" t="n"/>
    </row>
    <row r="97" ht="15" customHeight="1">
      <c r="A97" s="4" t="n"/>
      <c r="B97" s="4" t="n"/>
      <c r="C97" s="4" t="n"/>
      <c r="D97" s="4" t="n"/>
      <c r="E97" s="4" t="n"/>
      <c r="F97" s="4" t="n"/>
      <c r="G97" s="4" t="n"/>
      <c r="H97" s="4" t="n"/>
      <c r="I97" s="4" t="n"/>
    </row>
    <row r="98" ht="15" customHeight="1">
      <c r="A98" s="4" t="n"/>
      <c r="B98" s="4" t="n"/>
      <c r="C98" s="4" t="n"/>
      <c r="D98" s="4" t="n"/>
      <c r="E98" s="4" t="n"/>
      <c r="F98" s="4" t="n"/>
      <c r="G98" s="4" t="n"/>
      <c r="H98" s="4" t="n"/>
      <c r="I98" s="4" t="n"/>
    </row>
    <row r="99" ht="15" customHeight="1">
      <c r="A99" s="4" t="n"/>
      <c r="B99" s="4" t="n"/>
      <c r="C99" s="4" t="n"/>
      <c r="D99" s="4" t="n"/>
      <c r="E99" s="4" t="n"/>
      <c r="F99" s="4" t="n"/>
      <c r="G99" s="4" t="n"/>
      <c r="H99" s="4" t="n"/>
      <c r="I99" s="4" t="n"/>
    </row>
  </sheetData>
  <mergeCells count="40">
    <mergeCell ref="F13:I13"/>
    <mergeCell ref="A24:B24"/>
    <mergeCell ref="C30:D30"/>
    <mergeCell ref="A15:E15"/>
    <mergeCell ref="A11:E11"/>
    <mergeCell ref="A36:B36"/>
    <mergeCell ref="G36:H36"/>
    <mergeCell ref="H21:H22"/>
    <mergeCell ref="A21:B22"/>
    <mergeCell ref="C28:F28"/>
    <mergeCell ref="B19:D19"/>
    <mergeCell ref="C29:D29"/>
    <mergeCell ref="E29:F29"/>
    <mergeCell ref="A25:B25"/>
    <mergeCell ref="A16:E16"/>
    <mergeCell ref="C34:F34"/>
    <mergeCell ref="I21:I22"/>
    <mergeCell ref="A1:I2"/>
    <mergeCell ref="C21:F22"/>
    <mergeCell ref="C33:F33"/>
    <mergeCell ref="C24:F24"/>
    <mergeCell ref="A27:B27"/>
    <mergeCell ref="C31:D31"/>
    <mergeCell ref="E31:F31"/>
    <mergeCell ref="A18:E18"/>
    <mergeCell ref="B20:D20"/>
    <mergeCell ref="F8:G8"/>
    <mergeCell ref="A26:B26"/>
    <mergeCell ref="A12:E12"/>
    <mergeCell ref="E30:F30"/>
    <mergeCell ref="C26:F26"/>
    <mergeCell ref="C25:F25"/>
    <mergeCell ref="A14:E14"/>
    <mergeCell ref="M34:U34"/>
    <mergeCell ref="F18:I18"/>
    <mergeCell ref="C32:D32"/>
    <mergeCell ref="E32:F32"/>
    <mergeCell ref="A10:E10"/>
    <mergeCell ref="G21:G22"/>
    <mergeCell ref="A13:E13"/>
  </mergeCells>
  <printOptions horizontalCentered="1"/>
  <pageMargins left="0.7086614173228347" right="0.7086614173228347" top="0.9448818897637796" bottom="0.7480314960629921" header="0.3149606299212598" footer="0.3149606299212598"/>
  <pageSetup orientation="portrait" paperSize="9" scale="85" fitToHeight="0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I93"/>
  <sheetViews>
    <sheetView tabSelected="1" view="pageBreakPreview" topLeftCell="A14" zoomScale="85" zoomScaleNormal="85" zoomScaleSheetLayoutView="85" workbookViewId="0">
      <selection activeCell="H29" sqref="H29"/>
    </sheetView>
  </sheetViews>
  <sheetFormatPr baseColWidth="8" defaultRowHeight="14.4"/>
  <cols>
    <col width="11.296875" customWidth="1" min="1" max="1"/>
    <col width="4.69921875" customWidth="1" min="2" max="2"/>
    <col width="14.59765625" customWidth="1" min="4" max="4"/>
    <col width="6.19921875" customWidth="1" min="5" max="5"/>
    <col width="10.19921875" customWidth="1" min="6" max="6"/>
    <col width="8" customWidth="1" min="7" max="7"/>
    <col width="9.59765625" customWidth="1" min="8" max="8"/>
    <col width="15.796875" customWidth="1" min="9" max="9"/>
  </cols>
  <sheetData>
    <row r="1" ht="19.95" customFormat="1" customHeight="1" s="1" thickTop="1">
      <c r="A1" s="213" t="inlineStr">
        <is>
          <t>PACKING LIST</t>
        </is>
      </c>
      <c r="B1" s="214" t="n"/>
      <c r="C1" s="214" t="n"/>
      <c r="D1" s="214" t="n"/>
      <c r="E1" s="214" t="n"/>
      <c r="F1" s="214" t="n"/>
      <c r="G1" s="214" t="n"/>
      <c r="H1" s="214" t="n"/>
      <c r="I1" s="215" t="n"/>
    </row>
    <row r="2" ht="19.95" customFormat="1" customHeight="1" s="1" thickBot="1">
      <c r="A2" s="216" t="n"/>
      <c r="B2" s="217" t="n"/>
      <c r="C2" s="217" t="n"/>
      <c r="D2" s="217" t="n"/>
      <c r="E2" s="217" t="n"/>
      <c r="F2" s="217" t="n"/>
      <c r="G2" s="217" t="n"/>
      <c r="H2" s="217" t="n"/>
      <c r="I2" s="218" t="n"/>
    </row>
    <row r="3" ht="19.95" customFormat="1" customHeight="1" s="1" thickTop="1">
      <c r="A3" s="5" t="inlineStr">
        <is>
          <t>SELLER/MANUFACTURER</t>
        </is>
      </c>
      <c r="B3" s="6" t="n"/>
      <c r="C3" s="6" t="n"/>
      <c r="D3" s="6" t="n"/>
      <c r="E3" s="6" t="n"/>
      <c r="F3" s="5" t="inlineStr">
        <is>
          <t>INVOICE NO : TS-260511-01</t>
        </is>
      </c>
      <c r="G3" s="6" t="n"/>
      <c r="H3" s="6" t="n"/>
      <c r="I3" s="7" t="n"/>
    </row>
    <row r="4" ht="19.95" customFormat="1" customHeight="1" s="1" thickBot="1">
      <c r="A4" s="8" t="inlineStr">
        <is>
          <t>DAEYANG ELECTRIC CO LTD</t>
        </is>
      </c>
      <c r="B4" s="9" t="n"/>
      <c r="C4" s="9" t="n"/>
      <c r="D4" s="9" t="n"/>
      <c r="E4" s="10" t="n"/>
      <c r="F4" s="17" t="inlineStr">
        <is>
          <t>INVOICE DATE : 11-MAY-2026</t>
        </is>
      </c>
      <c r="G4" s="12" t="n"/>
      <c r="H4" s="12" t="n"/>
      <c r="I4" s="13" t="n"/>
    </row>
    <row r="5" ht="19.95" customFormat="1" customHeight="1" s="1" thickTop="1">
      <c r="A5" s="11" t="inlineStr">
        <is>
          <t xml:space="preserve">16 Venture-ro 100beon-gil, Yeonsu-gu, </t>
        </is>
      </c>
      <c r="B5" s="12" t="n"/>
      <c r="C5" s="12" t="n"/>
      <c r="D5" s="12" t="n"/>
      <c r="E5" s="12" t="n"/>
      <c r="F5" s="5" t="inlineStr">
        <is>
          <t>L/C NO.  &amp;  DATE</t>
        </is>
      </c>
      <c r="G5" s="6" t="n"/>
      <c r="H5" s="6" t="n"/>
      <c r="I5" s="7" t="n"/>
    </row>
    <row r="6" ht="19.95" customFormat="1" customHeight="1" s="1" thickBot="1">
      <c r="A6" s="11" t="inlineStr">
        <is>
          <t>Incheon, SOUTH KOREA. (22013)</t>
        </is>
      </c>
      <c r="B6" s="12" t="n"/>
      <c r="C6" s="12" t="n"/>
      <c r="D6" s="12" t="n"/>
      <c r="E6" s="12" t="n"/>
      <c r="F6" s="14" t="n"/>
      <c r="G6" s="15" t="n"/>
      <c r="H6" s="15" t="n"/>
      <c r="I6" s="16" t="n"/>
    </row>
    <row r="7" ht="19.95" customFormat="1" customHeight="1" s="1" thickTop="1">
      <c r="A7" s="11" t="inlineStr">
        <is>
          <t>TEL: +82 32 830 5520</t>
        </is>
      </c>
      <c r="B7" s="12" t="n"/>
      <c r="C7" s="12" t="n"/>
      <c r="D7" s="12" t="n"/>
      <c r="E7" s="12" t="n"/>
      <c r="F7" s="17" t="inlineStr">
        <is>
          <t>P/O NO.  &amp;  DATE</t>
        </is>
      </c>
      <c r="G7" s="12" t="n"/>
      <c r="H7" s="12" t="n"/>
      <c r="I7" s="13" t="n"/>
    </row>
    <row r="8" ht="19.95" customFormat="1" customHeight="1" s="1" thickBot="1">
      <c r="A8" s="14" t="inlineStr">
        <is>
          <t>FAX: +82 32 830 5509</t>
        </is>
      </c>
      <c r="B8" s="15" t="n"/>
      <c r="C8" s="15" t="n"/>
      <c r="D8" s="15" t="n"/>
      <c r="E8" s="16" t="n"/>
      <c r="F8" s="132">
        <f>'INVOICE '!F8</f>
        <v/>
      </c>
      <c r="G8" s="217" t="n"/>
      <c r="H8" s="15" t="n"/>
      <c r="I8" s="16" t="n"/>
    </row>
    <row r="9" ht="19.95" customFormat="1" customHeight="1" s="1" thickTop="1">
      <c r="A9" s="5" t="inlineStr">
        <is>
          <t>CONSIGNEE</t>
        </is>
      </c>
      <c r="B9" s="6" t="n"/>
      <c r="C9" s="6" t="n"/>
      <c r="D9" s="6" t="n"/>
      <c r="E9" s="7" t="n"/>
      <c r="F9" s="18" t="inlineStr">
        <is>
          <t>BUYER(NOTIFY PARTY)</t>
        </is>
      </c>
      <c r="G9" s="12" t="n"/>
      <c r="H9" s="12" t="n"/>
      <c r="I9" s="13" t="n"/>
    </row>
    <row r="10" ht="19.95" customFormat="1" customHeight="1" s="1">
      <c r="A10" s="219" t="inlineStr">
        <is>
          <t>Shanghai Mingxuan International Trade CO., LTD</t>
        </is>
      </c>
      <c r="E10" s="220" t="n"/>
      <c r="F10" s="12" t="inlineStr">
        <is>
          <t>NASN Automotive Technology (Hangzhou) Co., Ltd.</t>
        </is>
      </c>
      <c r="G10" s="12" t="n"/>
      <c r="H10" s="12" t="n"/>
      <c r="I10" s="13" t="n"/>
    </row>
    <row r="11" ht="19.95" customFormat="1" customHeight="1" s="1">
      <c r="A11" s="219" t="inlineStr">
        <is>
          <t xml:space="preserve">Room 1102,No.228 Ningguo Road, Yangpu District, </t>
        </is>
      </c>
      <c r="E11" s="220" t="n"/>
      <c r="F11" s="12" t="inlineStr">
        <is>
          <t xml:space="preserve">358 Hongxing Road, Building 1, </t>
        </is>
      </c>
      <c r="G11" s="12" t="n"/>
      <c r="H11" s="12" t="n"/>
      <c r="I11" s="13" t="n"/>
    </row>
    <row r="12" ht="19.95" customFormat="1" customHeight="1" s="1">
      <c r="A12" s="219" t="inlineStr">
        <is>
          <t>Shanghai, China.</t>
        </is>
      </c>
      <c r="E12" s="220" t="n"/>
      <c r="F12" s="12" t="inlineStr">
        <is>
          <t>Xiaoshan District, Hangzhou, Zhejiang, China</t>
        </is>
      </c>
      <c r="G12" s="12" t="n"/>
      <c r="H12" s="12" t="n"/>
      <c r="I12" s="13" t="n"/>
    </row>
    <row r="13" ht="19.95" customFormat="1" customHeight="1" s="1">
      <c r="A13" s="219" t="n"/>
      <c r="E13" s="220" t="n"/>
      <c r="F13" s="12" t="n"/>
      <c r="G13" s="12" t="n"/>
      <c r="H13" s="12" t="n"/>
      <c r="I13" s="13" t="n"/>
    </row>
    <row r="14" ht="19.95" customFormat="1" customHeight="1" s="1">
      <c r="A14" s="222" t="n"/>
      <c r="E14" s="220" t="n"/>
      <c r="F14" s="12">
        <f>'INVOICE '!F14</f>
        <v/>
      </c>
      <c r="G14" s="12" t="n"/>
      <c r="H14" s="12" t="n"/>
      <c r="I14" s="13" t="n"/>
    </row>
    <row r="15" ht="19.95" customFormat="1" customHeight="1" s="1">
      <c r="A15" s="223" t="inlineStr">
        <is>
          <t>PIC:  徐彩妮Annie</t>
        </is>
      </c>
      <c r="E15" s="220" t="n"/>
      <c r="F15" s="12">
        <f>'INVOICE '!F15</f>
        <v/>
      </c>
      <c r="G15" s="12" t="n"/>
      <c r="H15" s="12" t="n"/>
      <c r="I15" s="13" t="n"/>
    </row>
    <row r="16" ht="19.95" customFormat="1" customHeight="1" s="1">
      <c r="A16" s="223" t="inlineStr">
        <is>
          <t>Mobile: +86-18916480406</t>
        </is>
      </c>
      <c r="E16" s="220" t="n"/>
      <c r="F16" s="11">
        <f>'INVOICE '!F16</f>
        <v/>
      </c>
      <c r="G16" s="12" t="n"/>
      <c r="H16" s="12" t="n"/>
      <c r="I16" s="13" t="n"/>
    </row>
    <row r="17" ht="19.95" customFormat="1" customHeight="1" s="1" thickBot="1">
      <c r="A17" s="46" t="inlineStr">
        <is>
          <t>e-mail : xucaini@shanghaimingxuan.com</t>
        </is>
      </c>
      <c r="B17" s="47" t="n"/>
      <c r="C17" s="47" t="n"/>
      <c r="D17" s="48" t="n"/>
      <c r="E17" s="49" t="n"/>
      <c r="F17" s="17" t="inlineStr">
        <is>
          <t>COUNTRY OF ORIGIN</t>
        </is>
      </c>
      <c r="G17" s="12" t="n"/>
      <c r="H17" s="15" t="inlineStr">
        <is>
          <t>KOREA</t>
        </is>
      </c>
      <c r="I17" s="16" t="n"/>
    </row>
    <row r="18" ht="19.95" customFormat="1" customHeight="1" s="1" thickTop="1">
      <c r="A18" s="5" t="inlineStr">
        <is>
          <t xml:space="preserve">FROM  </t>
        </is>
      </c>
      <c r="B18" s="145" t="inlineStr">
        <is>
          <t>Incheon, KOREA</t>
        </is>
      </c>
      <c r="C18" s="214" t="n"/>
      <c r="D18" s="214" t="n"/>
      <c r="E18" s="55" t="n"/>
      <c r="F18" s="258">
        <f>'INVOICE '!F18:I18</f>
        <v/>
      </c>
      <c r="G18" s="214" t="n"/>
      <c r="H18" s="214" t="n"/>
      <c r="I18" s="215" t="n"/>
    </row>
    <row r="19" ht="19.95" customFormat="1" customHeight="1" s="1" thickBot="1">
      <c r="A19" s="38" t="inlineStr">
        <is>
          <t>TO</t>
        </is>
      </c>
      <c r="B19" s="103">
        <f>'INVOICE '!B20:D20</f>
        <v/>
      </c>
      <c r="C19" s="217" t="n"/>
      <c r="D19" s="217" t="n"/>
      <c r="E19" s="16" t="n"/>
      <c r="F19" s="38">
        <f>'INVOICE '!F20</f>
        <v/>
      </c>
      <c r="G19" s="104" t="n"/>
      <c r="H19" s="217" t="n"/>
      <c r="I19" s="218" t="n"/>
    </row>
    <row r="20" ht="19.95" customFormat="1" customHeight="1" s="1" thickTop="1">
      <c r="A20" s="110" t="inlineStr">
        <is>
          <t>SHIPPING 
MARKS</t>
        </is>
      </c>
      <c r="B20" s="112" t="inlineStr">
        <is>
          <t>NO</t>
        </is>
      </c>
      <c r="C20" s="118" t="inlineStr">
        <is>
          <t>Description of Goods</t>
        </is>
      </c>
      <c r="D20" s="229" t="n"/>
      <c r="E20" s="118" t="inlineStr">
        <is>
          <t>Unit</t>
        </is>
      </c>
      <c r="F20" s="118" t="inlineStr">
        <is>
          <t>Quantity</t>
        </is>
      </c>
      <c r="G20" s="120" t="inlineStr">
        <is>
          <t>Net
Weight
(g)</t>
        </is>
      </c>
      <c r="H20" s="120" t="inlineStr">
        <is>
          <t>Gross
Weight
(g)</t>
        </is>
      </c>
      <c r="I20" s="122" t="inlineStr">
        <is>
          <t>Remark</t>
        </is>
      </c>
    </row>
    <row r="21" ht="19.95" customFormat="1" customHeight="1" s="1">
      <c r="A21" s="259" t="n"/>
      <c r="B21" s="260" t="n"/>
      <c r="C21" s="261" t="n"/>
      <c r="D21" s="239" t="n"/>
      <c r="E21" s="260" t="n"/>
      <c r="F21" s="260" t="n"/>
      <c r="G21" s="260" t="n"/>
      <c r="H21" s="260" t="n"/>
      <c r="I21" s="262" t="n"/>
    </row>
    <row r="22" ht="19.95" customFormat="1" customHeight="1" s="1">
      <c r="A22" s="101" t="inlineStr">
        <is>
          <t>VESSEL</t>
        </is>
      </c>
      <c r="B22" s="263" t="n">
        <v>1</v>
      </c>
      <c r="C22" s="264" t="inlineStr">
        <is>
          <t>Pressure sensor (SNA120)</t>
        </is>
      </c>
      <c r="D22" s="265" t="n"/>
      <c r="E22" s="266" t="inlineStr">
        <is>
          <t>ea</t>
        </is>
      </c>
      <c r="F22" s="267">
        <f>'INVOICE '!$G$24</f>
        <v/>
      </c>
      <c r="G22" s="268" t="n">
        <v>5.2</v>
      </c>
      <c r="H22" s="269">
        <f>F22*G22</f>
        <v/>
      </c>
      <c r="I22" s="270" t="n"/>
    </row>
    <row r="23" ht="19.95" customFormat="1" customHeight="1" s="1">
      <c r="A23" s="259" t="n"/>
      <c r="B23" s="271" t="n">
        <v>2</v>
      </c>
      <c r="C23" s="272" t="inlineStr">
        <is>
          <t>PE Tray</t>
        </is>
      </c>
      <c r="D23" s="273" t="n"/>
      <c r="E23" s="274" t="inlineStr">
        <is>
          <t>ea</t>
        </is>
      </c>
      <c r="F23" s="275">
        <f>F24*11</f>
        <v/>
      </c>
      <c r="G23" s="276" t="n">
        <v>155</v>
      </c>
      <c r="H23" s="277">
        <f>F23*G23</f>
        <v/>
      </c>
      <c r="I23" s="278" t="n"/>
    </row>
    <row r="24" ht="19.95" customFormat="1" customHeight="1" s="1">
      <c r="A24" s="259" t="n"/>
      <c r="B24" s="173" t="n">
        <v>3</v>
      </c>
      <c r="C24" s="274" t="inlineStr">
        <is>
          <t>Box</t>
        </is>
      </c>
      <c r="D24" s="273" t="n"/>
      <c r="E24" s="274" t="inlineStr">
        <is>
          <t>ea</t>
        </is>
      </c>
      <c r="F24" s="279">
        <f>ROUNDUP(F22/1034,0)</f>
        <v/>
      </c>
      <c r="G24" s="280" t="n">
        <v>800</v>
      </c>
      <c r="H24" s="277">
        <f>F24*G24</f>
        <v/>
      </c>
      <c r="I24" s="281" t="n"/>
    </row>
    <row r="25" ht="19.95" customFormat="1" customHeight="1" s="1">
      <c r="A25" s="259" t="n"/>
      <c r="B25" s="70" t="n">
        <v>4</v>
      </c>
      <c r="C25" s="282" t="inlineStr">
        <is>
          <t>Pallet</t>
        </is>
      </c>
      <c r="D25" s="283" t="n"/>
      <c r="E25" s="282" t="inlineStr">
        <is>
          <t>ea</t>
        </is>
      </c>
      <c r="F25" s="284">
        <f>ROUNDUP(F24/27,0)</f>
        <v/>
      </c>
      <c r="G25" s="285" t="n">
        <v>7200</v>
      </c>
      <c r="H25" s="286">
        <f>F25*G25</f>
        <v/>
      </c>
      <c r="I25" s="287" t="n"/>
    </row>
    <row r="26" ht="19.95" customFormat="1" customHeight="1" s="1">
      <c r="A26" s="259" t="n"/>
      <c r="B26" s="288" t="inlineStr">
        <is>
          <t>Total gross weight</t>
        </is>
      </c>
      <c r="C26" s="289" t="n"/>
      <c r="D26" s="289" t="n"/>
      <c r="E26" s="289" t="n"/>
      <c r="F26" s="289" t="n"/>
      <c r="G26" s="265" t="n"/>
      <c r="H26" s="290">
        <f>SUM(H22:H25)</f>
        <v/>
      </c>
      <c r="I26" s="243" t="n"/>
    </row>
    <row r="27" ht="39.45" customHeight="1">
      <c r="A27" s="291" t="inlineStr">
        <is>
          <t>Packing</t>
        </is>
      </c>
      <c r="B27" s="61" t="inlineStr">
        <is>
          <t>No</t>
        </is>
      </c>
      <c r="C27" s="292" t="inlineStr">
        <is>
          <t>Packing type</t>
        </is>
      </c>
      <c r="D27" s="265" t="n"/>
      <c r="E27" s="293" t="inlineStr">
        <is>
          <t>Dimension
L X W X H (cm)</t>
        </is>
      </c>
      <c r="F27" s="294" t="n"/>
      <c r="G27" s="72" t="inlineStr">
        <is>
          <t>Quantity
(ea)</t>
        </is>
      </c>
      <c r="H27" s="295" t="inlineStr">
        <is>
          <t>Gross
Weight
(kg)</t>
        </is>
      </c>
      <c r="I27" s="296" t="inlineStr">
        <is>
          <t>Remark</t>
        </is>
      </c>
    </row>
    <row r="28" ht="19.95" customHeight="1">
      <c r="A28" s="297" t="n"/>
      <c r="B28" s="74" t="n">
        <v>1</v>
      </c>
      <c r="C28" s="298" t="inlineStr">
        <is>
          <t>Pallet</t>
        </is>
      </c>
      <c r="D28" s="294" t="n"/>
      <c r="E28" s="298" t="inlineStr">
        <is>
          <t>120 X 100 X 99</t>
        </is>
      </c>
      <c r="F28" s="294" t="n"/>
      <c r="G28" s="299">
        <f>F25</f>
        <v/>
      </c>
      <c r="H28" s="300">
        <f>H26/1000</f>
        <v/>
      </c>
      <c r="I28" s="301" t="n"/>
    </row>
    <row r="29" ht="19.95" customFormat="1" customHeight="1" s="1">
      <c r="A29" s="87" t="n"/>
      <c r="C29" s="146" t="n"/>
      <c r="G29" s="35" t="n"/>
      <c r="I29" s="88" t="n"/>
    </row>
    <row r="30" ht="19.95" customFormat="1" customHeight="1" s="1">
      <c r="A30" s="87" t="n"/>
      <c r="C30" s="146" t="n"/>
      <c r="I30" s="88" t="n"/>
    </row>
    <row r="31" ht="15" customFormat="1" customHeight="1" s="1">
      <c r="A31" s="17" t="n"/>
      <c r="B31" s="31" t="n"/>
      <c r="C31" s="146" t="n"/>
      <c r="G31" s="33" t="inlineStr">
        <is>
          <t>SIGNED BY</t>
        </is>
      </c>
      <c r="H31" s="33" t="n"/>
      <c r="I31" s="34" t="n"/>
    </row>
    <row r="32" ht="15" customFormat="1" customHeight="1" s="1">
      <c r="A32" s="187" t="n"/>
      <c r="B32" s="33" t="n"/>
      <c r="C32" s="33" t="n"/>
      <c r="D32" s="33" t="n"/>
      <c r="E32" s="33" t="n"/>
      <c r="G32" s="33" t="n"/>
      <c r="H32" s="33" t="n"/>
      <c r="I32" s="34" t="n"/>
    </row>
    <row r="33" ht="15" customFormat="1" customHeight="1" s="1">
      <c r="A33" s="17" t="n"/>
      <c r="B33" s="31" t="n"/>
      <c r="C33" s="31" t="n"/>
      <c r="D33" s="36" t="n"/>
      <c r="E33" s="33" t="n"/>
      <c r="F33" s="36" t="n"/>
      <c r="G33" s="33" t="n"/>
      <c r="H33" s="33" t="n"/>
      <c r="I33" s="34" t="n"/>
    </row>
    <row r="34" ht="15" customFormat="1" customHeight="1" s="1">
      <c r="A34" s="17" t="n"/>
      <c r="B34" s="31" t="n"/>
      <c r="C34" s="31" t="n"/>
      <c r="D34" s="36" t="n"/>
      <c r="E34" s="31" t="n"/>
      <c r="F34" s="36" t="n"/>
      <c r="G34" s="33" t="n"/>
      <c r="H34" s="33" t="n"/>
      <c r="I34" s="34" t="n"/>
    </row>
    <row r="35" ht="15" customFormat="1" customHeight="1" s="1">
      <c r="A35" s="17" t="n"/>
      <c r="B35" s="31" t="n"/>
      <c r="C35" s="31" t="n"/>
      <c r="D35" s="36" t="n"/>
      <c r="E35" s="31" t="n"/>
      <c r="F35" s="33" t="n"/>
      <c r="G35" s="33" t="n"/>
      <c r="H35" s="33" t="n"/>
      <c r="I35" s="34" t="n"/>
    </row>
    <row r="36" ht="15" customFormat="1" customHeight="1" s="1">
      <c r="A36" s="17" t="n"/>
      <c r="B36" s="31" t="n"/>
      <c r="C36" s="31" t="n"/>
      <c r="D36" s="36" t="n"/>
      <c r="E36" s="31" t="n"/>
      <c r="F36" s="33" t="n"/>
      <c r="G36" s="33" t="n"/>
      <c r="H36" s="33" t="n"/>
      <c r="I36" s="34" t="n"/>
    </row>
    <row r="37" ht="15" customFormat="1" customHeight="1" s="1">
      <c r="A37" s="17" t="n"/>
      <c r="B37" s="31" t="n"/>
      <c r="C37" s="31" t="n"/>
      <c r="D37" s="36" t="n"/>
      <c r="E37" s="31" t="n"/>
      <c r="F37" s="33" t="n"/>
      <c r="G37" s="33" t="n"/>
      <c r="H37" s="33" t="n"/>
      <c r="I37" s="34" t="n"/>
    </row>
    <row r="38" ht="15" customFormat="1" customHeight="1" s="1" thickBot="1">
      <c r="A38" s="38" t="n"/>
      <c r="B38" s="39" t="n"/>
      <c r="C38" s="39" t="n"/>
      <c r="D38" s="40" t="n"/>
      <c r="E38" s="39" t="n"/>
      <c r="F38" s="41" t="n"/>
      <c r="G38" s="41" t="n"/>
      <c r="H38" s="41" t="n"/>
      <c r="I38" s="42" t="n"/>
    </row>
    <row r="39" ht="15" customFormat="1" customHeight="1" s="1" thickTop="1">
      <c r="A39" s="3" t="n"/>
      <c r="B39" s="3" t="n"/>
      <c r="C39" s="3" t="n"/>
      <c r="D39" s="3" t="n"/>
      <c r="E39" s="3" t="n"/>
      <c r="F39" s="3" t="n"/>
      <c r="G39" s="3" t="n"/>
      <c r="H39" s="3" t="n"/>
      <c r="I39" s="3" t="n"/>
    </row>
    <row r="40" customFormat="1" s="1">
      <c r="A40" s="3" t="n"/>
      <c r="B40" s="3" t="n"/>
      <c r="C40" s="3" t="n"/>
      <c r="D40" s="3" t="n"/>
      <c r="E40" s="3" t="n"/>
      <c r="F40" s="3" t="n"/>
      <c r="G40" s="3" t="n"/>
      <c r="H40" s="3" t="n"/>
      <c r="I40" s="3" t="n"/>
    </row>
    <row r="41" customFormat="1" s="1">
      <c r="A41" s="3" t="n"/>
      <c r="B41" s="3" t="n"/>
      <c r="C41" s="3" t="n"/>
      <c r="D41" s="3" t="n"/>
      <c r="E41" s="3" t="n"/>
      <c r="F41" s="3" t="n"/>
      <c r="G41" s="3" t="n"/>
      <c r="H41" s="3" t="n"/>
      <c r="I41" s="3" t="n"/>
    </row>
    <row r="42" customFormat="1" s="1">
      <c r="A42" s="3" t="n"/>
      <c r="B42" s="3" t="n"/>
      <c r="C42" s="3" t="n"/>
      <c r="D42" s="3" t="n"/>
      <c r="E42" s="3" t="n"/>
      <c r="F42" s="3" t="n"/>
      <c r="G42" s="3" t="n"/>
      <c r="H42" s="3" t="n"/>
      <c r="I42" s="3" t="n"/>
    </row>
    <row r="43" customFormat="1" s="1">
      <c r="A43" s="3" t="n"/>
      <c r="B43" s="3" t="n"/>
      <c r="C43" s="3" t="n"/>
      <c r="D43" s="3" t="n"/>
      <c r="E43" s="3" t="n"/>
      <c r="F43" s="3" t="n"/>
      <c r="G43" s="3" t="n"/>
      <c r="H43" s="3" t="n"/>
      <c r="I43" s="3" t="n"/>
    </row>
    <row r="44" customFormat="1" s="1">
      <c r="A44" s="3" t="n"/>
      <c r="B44" s="3" t="n"/>
      <c r="C44" s="3" t="n"/>
      <c r="D44" s="3" t="n"/>
      <c r="E44" s="3" t="n"/>
      <c r="F44" s="3" t="n"/>
      <c r="G44" s="3" t="n"/>
      <c r="H44" s="3" t="n"/>
      <c r="I44" s="3" t="n"/>
    </row>
    <row r="45" customFormat="1" s="1">
      <c r="A45" s="3" t="n"/>
      <c r="B45" s="3" t="n"/>
      <c r="C45" s="3" t="n"/>
      <c r="D45" s="3" t="n"/>
      <c r="E45" s="3" t="n"/>
      <c r="F45" s="3" t="n"/>
      <c r="G45" s="3" t="n"/>
      <c r="H45" s="3" t="n"/>
      <c r="I45" s="3" t="n"/>
    </row>
    <row r="46" customFormat="1" s="1">
      <c r="A46" s="3" t="n"/>
      <c r="B46" s="3" t="n"/>
      <c r="C46" s="3" t="n"/>
      <c r="D46" s="3" t="n"/>
      <c r="E46" s="3" t="n"/>
      <c r="F46" s="3" t="n"/>
      <c r="G46" s="3" t="n"/>
      <c r="H46" s="3" t="n"/>
      <c r="I46" s="3" t="n"/>
    </row>
    <row r="47" customFormat="1" s="1">
      <c r="A47" s="3" t="n"/>
      <c r="B47" s="3" t="n"/>
      <c r="C47" s="3" t="n"/>
      <c r="D47" s="3" t="n"/>
      <c r="E47" s="3" t="n"/>
      <c r="F47" s="3" t="n"/>
      <c r="G47" s="3" t="n"/>
      <c r="H47" s="3" t="n"/>
      <c r="I47" s="3" t="n"/>
    </row>
    <row r="48" customFormat="1" s="1">
      <c r="A48" s="3" t="n"/>
      <c r="B48" s="3" t="n"/>
      <c r="C48" s="3" t="n"/>
      <c r="D48" s="3" t="n"/>
      <c r="E48" s="3" t="n"/>
      <c r="F48" s="3" t="n"/>
      <c r="G48" s="3" t="n"/>
      <c r="H48" s="3" t="n"/>
      <c r="I48" s="3" t="n"/>
    </row>
    <row r="49" customFormat="1" s="1">
      <c r="A49" s="3" t="n"/>
      <c r="B49" s="3" t="n"/>
      <c r="C49" s="3" t="n"/>
      <c r="D49" s="3" t="n"/>
      <c r="E49" s="3" t="n"/>
      <c r="F49" s="3" t="n"/>
      <c r="G49" s="3" t="n"/>
      <c r="H49" s="3" t="n"/>
      <c r="I49" s="3" t="n"/>
    </row>
    <row r="50" ht="15" customHeight="1">
      <c r="A50" s="4" t="n"/>
      <c r="B50" s="4" t="n"/>
      <c r="C50" s="4" t="n"/>
      <c r="D50" s="4" t="n"/>
      <c r="E50" s="4" t="n"/>
      <c r="F50" s="4" t="n"/>
      <c r="G50" s="4" t="n"/>
      <c r="H50" s="4" t="n"/>
      <c r="I50" s="4" t="n"/>
    </row>
    <row r="51" ht="15" customHeight="1">
      <c r="A51" s="4" t="n"/>
      <c r="B51" s="4" t="n"/>
      <c r="C51" s="4" t="n"/>
      <c r="D51" s="4" t="n"/>
      <c r="E51" s="4" t="n"/>
      <c r="F51" s="4" t="n"/>
      <c r="G51" s="4" t="n"/>
      <c r="H51" s="4" t="n"/>
      <c r="I51" s="4" t="n"/>
    </row>
    <row r="52" ht="15" customHeight="1">
      <c r="A52" s="4" t="n"/>
      <c r="B52" s="4" t="n"/>
      <c r="C52" s="4" t="n"/>
      <c r="D52" s="4" t="n"/>
      <c r="E52" s="4" t="n"/>
      <c r="F52" s="4" t="n"/>
      <c r="G52" s="4" t="n"/>
      <c r="H52" s="4" t="n"/>
      <c r="I52" s="4" t="n"/>
    </row>
    <row r="53" ht="15" customHeight="1">
      <c r="A53" s="4" t="n"/>
      <c r="B53" s="4" t="n"/>
      <c r="C53" s="4" t="n"/>
      <c r="D53" s="4" t="n"/>
      <c r="E53" s="4" t="n"/>
      <c r="F53" s="4" t="n"/>
      <c r="G53" s="4" t="n"/>
      <c r="H53" s="4" t="n"/>
      <c r="I53" s="4" t="n"/>
    </row>
    <row r="54" ht="15" customHeight="1">
      <c r="A54" s="4" t="n"/>
      <c r="B54" s="4" t="n"/>
      <c r="C54" s="4" t="n"/>
      <c r="D54" s="4" t="n"/>
      <c r="E54" s="4" t="n"/>
      <c r="F54" s="4" t="n"/>
      <c r="G54" s="4" t="n"/>
      <c r="H54" s="4" t="n"/>
      <c r="I54" s="4" t="n"/>
    </row>
    <row r="55" ht="15" customHeight="1">
      <c r="A55" s="4" t="n"/>
      <c r="B55" s="4" t="n"/>
      <c r="C55" s="4" t="n"/>
      <c r="D55" s="4" t="n"/>
      <c r="E55" s="4" t="n"/>
      <c r="F55" s="4" t="n"/>
      <c r="G55" s="4" t="n"/>
      <c r="H55" s="4" t="n"/>
      <c r="I55" s="4" t="n"/>
    </row>
    <row r="56" ht="15" customHeight="1">
      <c r="A56" s="4" t="n"/>
      <c r="B56" s="4" t="n"/>
      <c r="C56" s="4" t="n"/>
      <c r="D56" s="4" t="n"/>
      <c r="E56" s="4" t="n"/>
      <c r="F56" s="4" t="n"/>
      <c r="G56" s="4" t="n"/>
      <c r="H56" s="4" t="n"/>
      <c r="I56" s="4" t="n"/>
    </row>
    <row r="57" ht="15" customHeight="1">
      <c r="A57" s="4" t="n"/>
      <c r="B57" s="4" t="n"/>
      <c r="C57" s="4" t="n"/>
      <c r="D57" s="4" t="n"/>
      <c r="E57" s="4" t="n"/>
      <c r="F57" s="4" t="n"/>
      <c r="G57" s="4" t="n"/>
      <c r="H57" s="4" t="n"/>
      <c r="I57" s="4" t="n"/>
    </row>
    <row r="58" ht="15" customHeight="1">
      <c r="A58" s="4" t="n"/>
      <c r="B58" s="4" t="n"/>
      <c r="C58" s="4" t="n"/>
      <c r="D58" s="4" t="n"/>
      <c r="E58" s="4" t="n"/>
      <c r="F58" s="4" t="n"/>
      <c r="G58" s="4" t="n"/>
      <c r="H58" s="4" t="n"/>
      <c r="I58" s="4" t="n"/>
    </row>
    <row r="59" ht="15" customHeight="1">
      <c r="A59" s="4" t="n"/>
      <c r="B59" s="4" t="n"/>
      <c r="C59" s="4" t="n"/>
      <c r="D59" s="4" t="n"/>
      <c r="E59" s="4" t="n"/>
      <c r="F59" s="4" t="n"/>
      <c r="G59" s="4" t="n"/>
      <c r="H59" s="4" t="n"/>
      <c r="I59" s="4" t="n"/>
    </row>
    <row r="60" ht="15" customHeight="1">
      <c r="A60" s="4" t="n"/>
      <c r="B60" s="4" t="n"/>
      <c r="C60" s="4" t="n"/>
      <c r="D60" s="4" t="n"/>
      <c r="E60" s="4" t="n"/>
      <c r="F60" s="4" t="n"/>
      <c r="G60" s="4" t="n"/>
      <c r="H60" s="4" t="n"/>
      <c r="I60" s="4" t="n"/>
    </row>
    <row r="61" ht="15" customHeight="1">
      <c r="A61" s="4" t="n"/>
      <c r="B61" s="4" t="n"/>
      <c r="C61" s="4" t="n"/>
      <c r="D61" s="4" t="n"/>
      <c r="E61" s="4" t="n"/>
      <c r="F61" s="4" t="n"/>
      <c r="G61" s="4" t="n"/>
      <c r="H61" s="4" t="n"/>
      <c r="I61" s="4" t="n"/>
    </row>
    <row r="62" ht="15" customHeight="1">
      <c r="A62" s="4" t="n"/>
      <c r="B62" s="4" t="n"/>
      <c r="C62" s="4" t="n"/>
      <c r="D62" s="4" t="n"/>
      <c r="E62" s="4" t="n"/>
      <c r="F62" s="4" t="n"/>
      <c r="G62" s="4" t="n"/>
      <c r="H62" s="4" t="n"/>
      <c r="I62" s="4" t="n"/>
    </row>
    <row r="63" ht="15" customHeight="1">
      <c r="A63" s="4" t="n"/>
      <c r="B63" s="4" t="n"/>
      <c r="C63" s="4" t="n"/>
      <c r="D63" s="4" t="n"/>
      <c r="E63" s="4" t="n"/>
      <c r="F63" s="4" t="n"/>
      <c r="G63" s="4" t="n"/>
      <c r="H63" s="4" t="n"/>
      <c r="I63" s="4" t="n"/>
    </row>
    <row r="64" ht="15" customHeight="1">
      <c r="A64" s="4" t="n"/>
      <c r="B64" s="4" t="n"/>
      <c r="C64" s="4" t="n"/>
      <c r="D64" s="4" t="n"/>
      <c r="E64" s="4" t="n"/>
      <c r="F64" s="4" t="n"/>
      <c r="G64" s="4" t="n"/>
      <c r="H64" s="4" t="n"/>
      <c r="I64" s="4" t="n"/>
    </row>
    <row r="65" ht="15" customHeight="1">
      <c r="A65" s="4" t="n"/>
      <c r="B65" s="4" t="n"/>
      <c r="C65" s="4" t="n"/>
      <c r="D65" s="4" t="n"/>
      <c r="E65" s="4" t="n"/>
      <c r="F65" s="4" t="n"/>
      <c r="G65" s="4" t="n"/>
      <c r="H65" s="4" t="n"/>
      <c r="I65" s="4" t="n"/>
    </row>
    <row r="66" ht="15" customHeight="1">
      <c r="A66" s="4" t="n"/>
      <c r="B66" s="4" t="n"/>
      <c r="C66" s="4" t="n"/>
      <c r="D66" s="4" t="n"/>
      <c r="E66" s="4" t="n"/>
      <c r="F66" s="4" t="n"/>
      <c r="G66" s="4" t="n"/>
      <c r="H66" s="4" t="n"/>
      <c r="I66" s="4" t="n"/>
    </row>
    <row r="67" ht="15" customHeight="1">
      <c r="A67" s="4" t="n"/>
      <c r="B67" s="4" t="n"/>
      <c r="C67" s="4" t="n"/>
      <c r="D67" s="4" t="n"/>
      <c r="E67" s="4" t="n"/>
      <c r="F67" s="4" t="n"/>
      <c r="G67" s="4" t="n"/>
      <c r="H67" s="4" t="n"/>
      <c r="I67" s="4" t="n"/>
    </row>
    <row r="68" ht="15" customHeight="1">
      <c r="A68" s="4" t="n"/>
      <c r="B68" s="4" t="n"/>
      <c r="C68" s="4" t="n"/>
      <c r="D68" s="4" t="n"/>
      <c r="E68" s="4" t="n"/>
      <c r="F68" s="4" t="n"/>
      <c r="G68" s="4" t="n"/>
      <c r="H68" s="4" t="n"/>
      <c r="I68" s="4" t="n"/>
    </row>
    <row r="69" ht="15" customHeight="1">
      <c r="A69" s="4" t="n"/>
      <c r="B69" s="4" t="n"/>
      <c r="C69" s="4" t="n"/>
      <c r="D69" s="4" t="n"/>
      <c r="E69" s="4" t="n"/>
      <c r="F69" s="4" t="n"/>
      <c r="G69" s="4" t="n"/>
      <c r="H69" s="4" t="n"/>
      <c r="I69" s="4" t="n"/>
    </row>
    <row r="70" ht="15" customHeight="1">
      <c r="A70" s="4" t="n"/>
      <c r="B70" s="4" t="n"/>
      <c r="C70" s="4" t="n"/>
      <c r="D70" s="4" t="n"/>
      <c r="E70" s="4" t="n"/>
      <c r="F70" s="4" t="n"/>
      <c r="G70" s="4" t="n"/>
      <c r="H70" s="4" t="n"/>
      <c r="I70" s="4" t="n"/>
    </row>
    <row r="71" ht="15" customHeight="1">
      <c r="A71" s="4" t="n"/>
      <c r="B71" s="4" t="n"/>
      <c r="C71" s="4" t="n"/>
      <c r="D71" s="4" t="n"/>
      <c r="E71" s="4" t="n"/>
      <c r="F71" s="4" t="n"/>
      <c r="G71" s="4" t="n"/>
      <c r="H71" s="4" t="n"/>
      <c r="I71" s="4" t="n"/>
    </row>
    <row r="72" ht="15" customHeight="1">
      <c r="A72" s="4" t="n"/>
      <c r="B72" s="4" t="n"/>
      <c r="C72" s="4" t="n"/>
      <c r="D72" s="4" t="n"/>
      <c r="E72" s="4" t="n"/>
      <c r="F72" s="4" t="n"/>
      <c r="G72" s="4" t="n"/>
      <c r="H72" s="4" t="n"/>
      <c r="I72" s="4" t="n"/>
    </row>
    <row r="73" ht="15" customHeight="1">
      <c r="A73" s="4" t="n"/>
      <c r="B73" s="4" t="n"/>
      <c r="C73" s="4" t="n"/>
      <c r="D73" s="4" t="n"/>
      <c r="E73" s="4" t="n"/>
      <c r="F73" s="4" t="n"/>
      <c r="G73" s="4" t="n"/>
      <c r="H73" s="4" t="n"/>
      <c r="I73" s="4" t="n"/>
    </row>
    <row r="74" ht="15" customHeight="1">
      <c r="A74" s="4" t="n"/>
      <c r="B74" s="4" t="n"/>
      <c r="C74" s="4" t="n"/>
      <c r="D74" s="4" t="n"/>
      <c r="E74" s="4" t="n"/>
      <c r="F74" s="4" t="n"/>
      <c r="G74" s="4" t="n"/>
      <c r="H74" s="4" t="n"/>
      <c r="I74" s="4" t="n"/>
    </row>
    <row r="75" ht="15" customHeight="1">
      <c r="A75" s="4" t="n"/>
      <c r="B75" s="4" t="n"/>
      <c r="C75" s="4" t="n"/>
      <c r="D75" s="4" t="n"/>
      <c r="E75" s="4" t="n"/>
      <c r="F75" s="4" t="n"/>
      <c r="G75" s="4" t="n"/>
      <c r="H75" s="4" t="n"/>
      <c r="I75" s="4" t="n"/>
    </row>
    <row r="76" ht="15" customHeight="1">
      <c r="A76" s="4" t="n"/>
      <c r="B76" s="4" t="n"/>
      <c r="C76" s="4" t="n"/>
      <c r="D76" s="4" t="n"/>
      <c r="E76" s="4" t="n"/>
      <c r="F76" s="4" t="n"/>
      <c r="G76" s="4" t="n"/>
      <c r="H76" s="4" t="n"/>
      <c r="I76" s="4" t="n"/>
    </row>
    <row r="77" ht="15" customHeight="1">
      <c r="A77" s="4" t="n"/>
      <c r="B77" s="4" t="n"/>
      <c r="C77" s="4" t="n"/>
      <c r="D77" s="4" t="n"/>
      <c r="E77" s="4" t="n"/>
      <c r="F77" s="4" t="n"/>
      <c r="G77" s="4" t="n"/>
      <c r="H77" s="4" t="n"/>
      <c r="I77" s="4" t="n"/>
    </row>
    <row r="78" ht="15" customHeight="1">
      <c r="A78" s="4" t="n"/>
      <c r="B78" s="4" t="n"/>
      <c r="C78" s="4" t="n"/>
      <c r="D78" s="4" t="n"/>
      <c r="E78" s="4" t="n"/>
      <c r="F78" s="4" t="n"/>
      <c r="G78" s="4" t="n"/>
      <c r="H78" s="4" t="n"/>
      <c r="I78" s="4" t="n"/>
    </row>
    <row r="79" ht="15" customHeight="1">
      <c r="A79" s="4" t="n"/>
      <c r="B79" s="4" t="n"/>
      <c r="C79" s="4" t="n"/>
      <c r="D79" s="4" t="n"/>
      <c r="E79" s="4" t="n"/>
      <c r="F79" s="4" t="n"/>
      <c r="G79" s="4" t="n"/>
      <c r="H79" s="4" t="n"/>
      <c r="I79" s="4" t="n"/>
    </row>
    <row r="80" ht="15" customHeight="1">
      <c r="A80" s="4" t="n"/>
      <c r="B80" s="4" t="n"/>
      <c r="C80" s="4" t="n"/>
      <c r="D80" s="4" t="n"/>
      <c r="E80" s="4" t="n"/>
      <c r="F80" s="4" t="n"/>
      <c r="G80" s="4" t="n"/>
      <c r="H80" s="4" t="n"/>
      <c r="I80" s="4" t="n"/>
    </row>
    <row r="81" ht="15" customHeight="1">
      <c r="A81" s="4" t="n"/>
      <c r="B81" s="4" t="n"/>
      <c r="C81" s="4" t="n"/>
      <c r="D81" s="4" t="n"/>
      <c r="E81" s="4" t="n"/>
      <c r="F81" s="4" t="n"/>
      <c r="G81" s="4" t="n"/>
      <c r="H81" s="4" t="n"/>
      <c r="I81" s="4" t="n"/>
    </row>
    <row r="82" ht="15" customHeight="1">
      <c r="A82" s="4" t="n"/>
      <c r="B82" s="4" t="n"/>
      <c r="C82" s="4" t="n"/>
      <c r="D82" s="4" t="n"/>
      <c r="E82" s="4" t="n"/>
      <c r="F82" s="4" t="n"/>
      <c r="G82" s="4" t="n"/>
      <c r="H82" s="4" t="n"/>
      <c r="I82" s="4" t="n"/>
    </row>
    <row r="83" ht="15" customHeight="1">
      <c r="A83" s="4" t="n"/>
      <c r="B83" s="4" t="n"/>
      <c r="C83" s="4" t="n"/>
      <c r="D83" s="4" t="n"/>
      <c r="E83" s="4" t="n"/>
      <c r="F83" s="4" t="n"/>
      <c r="G83" s="4" t="n"/>
      <c r="H83" s="4" t="n"/>
      <c r="I83" s="4" t="n"/>
    </row>
    <row r="84" ht="15" customHeight="1">
      <c r="A84" s="4" t="n"/>
      <c r="B84" s="4" t="n"/>
      <c r="C84" s="4" t="n"/>
      <c r="D84" s="4" t="n"/>
      <c r="E84" s="4" t="n"/>
      <c r="F84" s="4" t="n"/>
      <c r="G84" s="4" t="n"/>
      <c r="H84" s="4" t="n"/>
      <c r="I84" s="4" t="n"/>
    </row>
    <row r="85" ht="15" customHeight="1">
      <c r="A85" s="4" t="n"/>
      <c r="B85" s="4" t="n"/>
      <c r="C85" s="4" t="n"/>
      <c r="D85" s="4" t="n"/>
      <c r="E85" s="4" t="n"/>
      <c r="F85" s="4" t="n"/>
      <c r="G85" s="4" t="n"/>
      <c r="H85" s="4" t="n"/>
      <c r="I85" s="4" t="n"/>
    </row>
    <row r="86" ht="15" customHeight="1">
      <c r="A86" s="4" t="n"/>
      <c r="B86" s="4" t="n"/>
      <c r="C86" s="4" t="n"/>
      <c r="D86" s="4" t="n"/>
      <c r="E86" s="4" t="n"/>
      <c r="F86" s="4" t="n"/>
      <c r="G86" s="4" t="n"/>
      <c r="H86" s="4" t="n"/>
      <c r="I86" s="4" t="n"/>
    </row>
    <row r="87" ht="15" customHeight="1">
      <c r="A87" s="4" t="n"/>
      <c r="B87" s="4" t="n"/>
      <c r="C87" s="4" t="n"/>
      <c r="D87" s="4" t="n"/>
      <c r="E87" s="4" t="n"/>
      <c r="F87" s="4" t="n"/>
      <c r="G87" s="4" t="n"/>
      <c r="H87" s="4" t="n"/>
      <c r="I87" s="4" t="n"/>
    </row>
    <row r="88" ht="15" customHeight="1">
      <c r="A88" s="4" t="n"/>
      <c r="B88" s="4" t="n"/>
      <c r="C88" s="4" t="n"/>
      <c r="D88" s="4" t="n"/>
      <c r="E88" s="4" t="n"/>
      <c r="F88" s="4" t="n"/>
      <c r="G88" s="4" t="n"/>
      <c r="H88" s="4" t="n"/>
      <c r="I88" s="4" t="n"/>
    </row>
    <row r="89" ht="15" customHeight="1">
      <c r="A89" s="4" t="n"/>
      <c r="B89" s="4" t="n"/>
      <c r="C89" s="4" t="n"/>
      <c r="D89" s="4" t="n"/>
      <c r="E89" s="4" t="n"/>
      <c r="F89" s="4" t="n"/>
      <c r="G89" s="4" t="n"/>
      <c r="H89" s="4" t="n"/>
      <c r="I89" s="4" t="n"/>
    </row>
    <row r="90" ht="15" customHeight="1">
      <c r="A90" s="4" t="n"/>
      <c r="B90" s="4" t="n"/>
      <c r="C90" s="4" t="n"/>
      <c r="D90" s="4" t="n"/>
      <c r="E90" s="4" t="n"/>
      <c r="F90" s="4" t="n"/>
      <c r="G90" s="4" t="n"/>
      <c r="H90" s="4" t="n"/>
      <c r="I90" s="4" t="n"/>
    </row>
    <row r="91" ht="15" customHeight="1">
      <c r="A91" s="4" t="n"/>
      <c r="B91" s="4" t="n"/>
      <c r="C91" s="4" t="n"/>
      <c r="D91" s="4" t="n"/>
      <c r="E91" s="4" t="n"/>
      <c r="F91" s="4" t="n"/>
      <c r="G91" s="4" t="n"/>
      <c r="H91" s="4" t="n"/>
      <c r="I91" s="4" t="n"/>
    </row>
    <row r="92" ht="15" customHeight="1">
      <c r="A92" s="4" t="n"/>
      <c r="B92" s="4" t="n"/>
      <c r="C92" s="4" t="n"/>
      <c r="D92" s="4" t="n"/>
      <c r="E92" s="4" t="n"/>
      <c r="F92" s="4" t="n"/>
      <c r="G92" s="4" t="n"/>
      <c r="H92" s="4" t="n"/>
      <c r="I92" s="4" t="n"/>
    </row>
    <row r="93" ht="15" customHeight="1">
      <c r="A93" s="4" t="n"/>
      <c r="B93" s="4" t="n"/>
      <c r="C93" s="4" t="n"/>
      <c r="D93" s="4" t="n"/>
      <c r="E93" s="4" t="n"/>
      <c r="F93" s="4" t="n"/>
      <c r="G93" s="4" t="n"/>
      <c r="H93" s="4" t="n"/>
      <c r="I93" s="4" t="n"/>
    </row>
  </sheetData>
  <mergeCells count="35">
    <mergeCell ref="C24:D24"/>
    <mergeCell ref="G19:I19"/>
    <mergeCell ref="A15:E15"/>
    <mergeCell ref="E20:E21"/>
    <mergeCell ref="A11:E11"/>
    <mergeCell ref="F20:F21"/>
    <mergeCell ref="A22:A26"/>
    <mergeCell ref="A27:A28"/>
    <mergeCell ref="B19:D19"/>
    <mergeCell ref="A16:E16"/>
    <mergeCell ref="C25:D25"/>
    <mergeCell ref="C30:F30"/>
    <mergeCell ref="E28:F28"/>
    <mergeCell ref="A1:I2"/>
    <mergeCell ref="C22:D22"/>
    <mergeCell ref="G20:G21"/>
    <mergeCell ref="F8:G8"/>
    <mergeCell ref="A12:E12"/>
    <mergeCell ref="C27:D27"/>
    <mergeCell ref="C29:F29"/>
    <mergeCell ref="E27:F27"/>
    <mergeCell ref="I20:I21"/>
    <mergeCell ref="A20:A21"/>
    <mergeCell ref="B26:G26"/>
    <mergeCell ref="B20:B21"/>
    <mergeCell ref="A14:E14"/>
    <mergeCell ref="C23:D23"/>
    <mergeCell ref="F18:I18"/>
    <mergeCell ref="C31:F31"/>
    <mergeCell ref="C20:D21"/>
    <mergeCell ref="A10:E10"/>
    <mergeCell ref="H20:H21"/>
    <mergeCell ref="B18:D18"/>
    <mergeCell ref="C28:D28"/>
    <mergeCell ref="A13:E13"/>
  </mergeCells>
  <printOptions horizontalCentered="1"/>
  <pageMargins left="0.7086614173228347" right="0.7086614173228347" top="0.9448818897637796" bottom="0.7480314960629921" header="0.3149606299212598" footer="0.3149606299212598"/>
  <pageSetup orientation="portrait" paperSize="9" scale="85" fitToHeight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이진호</dc:creator>
  <dcterms:created xmlns:dcterms="http://purl.org/dc/terms/" xmlns:xsi="http://www.w3.org/2001/XMLSchema-instance" xsi:type="dcterms:W3CDTF">2013-10-23T08:04:15Z</dcterms:created>
  <dcterms:modified xmlns:dcterms="http://purl.org/dc/terms/" xmlns:xsi="http://www.w3.org/2001/XMLSchema-instance" xsi:type="dcterms:W3CDTF">2026-05-20T03:45:12Z</dcterms:modified>
  <cp:lastModifiedBy>허윤아</cp:lastModifiedBy>
  <cp:lastPrinted>2026-03-09T01:10:03Z</cp:lastPrinted>
</cp:coreProperties>
</file>