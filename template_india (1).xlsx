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5" yWindow="0" windowWidth="14610" windowHeight="17385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cking list" sheetId="2" state="visible" r:id="rId2"/>
  </sheets>
  <definedNames>
    <definedName name="_xlnm.Print_Area" localSheetId="0">'INVOICE'!$A$1:$I$46</definedName>
    <definedName name="_xlnm.Print_Area" localSheetId="1">'Packing list'!$A$1:$I$35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_-;\-* #,##0.00_-;_-* &quot;-&quot;_-;_-@_-"/>
    <numFmt numFmtId="165" formatCode="0.00_ "/>
    <numFmt numFmtId="166" formatCode="_-* #,##0_-;\-* #,##0_-;_-* &quot;-&quot;_-;_-@_-"/>
    <numFmt numFmtId="167" formatCode="\$#,##0.00"/>
    <numFmt numFmtId="168" formatCode="_-&quot;₩&quot;* #,##0_-;\-&quot;₩&quot;* #,##0_-;_-&quot;₩&quot;* &quot;-&quot;_-;_-@_-"/>
    <numFmt numFmtId="169" formatCode="#,##0_ "/>
    <numFmt numFmtId="170" formatCode="#,##0_);[Red]\(#,##0\)"/>
  </numFmts>
  <fonts count="13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Garamond"/>
      <family val="1"/>
      <sz val="10"/>
    </font>
    <font>
      <name val="Garamond"/>
      <family val="1"/>
      <sz val="11"/>
    </font>
    <font>
      <name val="굴림"/>
      <charset val="129"/>
      <family val="3"/>
      <b val="1"/>
      <sz val="20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b val="1"/>
      <sz val="12"/>
    </font>
    <font>
      <name val="굴림"/>
      <charset val="129"/>
      <family val="3"/>
      <b val="1"/>
      <color theme="1"/>
      <sz val="10"/>
    </font>
    <font>
      <name val="굴림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1" fillId="0" borderId="0"/>
    <xf numFmtId="41" fontId="1" fillId="0" borderId="0"/>
    <xf numFmtId="42" fontId="1" fillId="0" borderId="0" applyAlignment="1">
      <alignment vertical="center"/>
    </xf>
  </cellStyleXfs>
  <cellXfs count="30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6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164" fontId="7" fillId="0" borderId="20" applyAlignment="1" pivotButton="0" quotePrefix="0" xfId="1">
      <alignment vertical="center"/>
    </xf>
    <xf numFmtId="164" fontId="7" fillId="0" borderId="23" applyAlignment="1" pivotButton="0" quotePrefix="0" xfId="1">
      <alignment horizontal="center" vertical="center"/>
    </xf>
    <xf numFmtId="165" fontId="7" fillId="0" borderId="0" applyAlignment="1" pivotButton="0" quotePrefix="0" xfId="0">
      <alignment vertical="center"/>
    </xf>
    <xf numFmtId="165" fontId="7" fillId="0" borderId="23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164" fontId="7" fillId="0" borderId="23" applyAlignment="1" pivotButton="0" quotePrefix="1" xfId="1">
      <alignment horizontal="right" vertical="center"/>
    </xf>
    <xf numFmtId="0" fontId="7" fillId="2" borderId="7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8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7" fillId="0" borderId="31" applyAlignment="1" pivotButton="0" quotePrefix="0" xfId="0">
      <alignment vertical="center"/>
    </xf>
    <xf numFmtId="0" fontId="7" fillId="0" borderId="32" applyAlignment="1" pivotButton="0" quotePrefix="0" xfId="0">
      <alignment vertical="center"/>
    </xf>
    <xf numFmtId="0" fontId="7" fillId="0" borderId="29" applyAlignment="1" pivotButton="0" quotePrefix="0" xfId="0">
      <alignment vertical="center"/>
    </xf>
    <xf numFmtId="0" fontId="7" fillId="0" borderId="33" applyAlignment="1" pivotButton="0" quotePrefix="0" xfId="0">
      <alignment vertical="center"/>
    </xf>
    <xf numFmtId="0" fontId="7" fillId="0" borderId="28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7" fillId="0" borderId="40" applyAlignment="1" pivotButton="0" quotePrefix="0" xfId="0">
      <alignment horizontal="center" vertical="center"/>
    </xf>
    <xf numFmtId="166" fontId="7" fillId="0" borderId="41" applyAlignment="1" pivotButton="0" quotePrefix="0" xfId="1">
      <alignment vertical="center"/>
    </xf>
    <xf numFmtId="0" fontId="7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vertical="center"/>
    </xf>
    <xf numFmtId="0" fontId="9" fillId="0" borderId="33" applyAlignment="1" pivotButton="0" quotePrefix="0" xfId="0">
      <alignment vertical="center"/>
    </xf>
    <xf numFmtId="0" fontId="6" fillId="0" borderId="45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9" fillId="0" borderId="46" applyAlignment="1" pivotButton="0" quotePrefix="0" xfId="0">
      <alignment vertical="center"/>
    </xf>
    <xf numFmtId="167" fontId="6" fillId="0" borderId="23" applyAlignment="1" pivotButton="0" quotePrefix="0" xfId="1">
      <alignment horizontal="center" vertical="center"/>
    </xf>
    <xf numFmtId="168" fontId="7" fillId="0" borderId="20" applyAlignment="1" pivotButton="0" quotePrefix="1" xfId="2">
      <alignment horizontal="right" vertical="center"/>
    </xf>
    <xf numFmtId="164" fontId="7" fillId="0" borderId="20" applyAlignment="1" pivotButton="0" quotePrefix="0" xfId="1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18" pivotButton="0" quotePrefix="0" xfId="0"/>
    <xf numFmtId="0" fontId="0" fillId="0" borderId="22" pivotButton="0" quotePrefix="0" xfId="0"/>
    <xf numFmtId="0" fontId="7" fillId="0" borderId="22" applyAlignment="1" pivotButton="0" quotePrefix="0" xfId="0">
      <alignment vertical="center"/>
    </xf>
    <xf numFmtId="169" fontId="7" fillId="2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vertical="center"/>
    </xf>
    <xf numFmtId="164" fontId="7" fillId="0" borderId="22" applyAlignment="1" pivotButton="0" quotePrefix="1" xfId="1">
      <alignment horizontal="right" vertical="center"/>
    </xf>
    <xf numFmtId="0" fontId="0" fillId="0" borderId="20" pivotButton="0" quotePrefix="0" xfId="0"/>
    <xf numFmtId="0" fontId="0" fillId="0" borderId="7" pivotButton="0" quotePrefix="0" xfId="0"/>
    <xf numFmtId="166" fontId="7" fillId="0" borderId="44" applyAlignment="1" pivotButton="0" quotePrefix="0" xfId="1">
      <alignment horizontal="center" vertical="center"/>
    </xf>
    <xf numFmtId="0" fontId="7" fillId="0" borderId="42" applyAlignment="1" pivotButton="0" quotePrefix="0" xfId="0">
      <alignment horizontal="center" vertical="center"/>
    </xf>
    <xf numFmtId="170" fontId="7" fillId="0" borderId="42" applyAlignment="1" pivotButton="0" quotePrefix="0" xfId="1">
      <alignment horizontal="right" vertical="center"/>
    </xf>
    <xf numFmtId="166" fontId="7" fillId="0" borderId="47" applyAlignment="1" pivotButton="0" quotePrefix="0" xfId="1">
      <alignment horizontal="right" vertical="center"/>
    </xf>
    <xf numFmtId="0" fontId="7" fillId="0" borderId="47" applyAlignment="1" pivotButton="0" quotePrefix="0" xfId="0">
      <alignment horizontal="center" vertical="center"/>
    </xf>
    <xf numFmtId="170" fontId="7" fillId="0" borderId="47" applyAlignment="1" pivotButton="0" quotePrefix="0" xfId="0">
      <alignment horizontal="right" vertical="center"/>
    </xf>
    <xf numFmtId="0" fontId="7" fillId="0" borderId="47" applyAlignment="1" pivotButton="0" quotePrefix="0" xfId="0">
      <alignment horizontal="right" vertical="center"/>
    </xf>
    <xf numFmtId="170" fontId="7" fillId="0" borderId="16" applyAlignment="1" pivotButton="0" quotePrefix="0" xfId="1">
      <alignment vertical="center"/>
    </xf>
    <xf numFmtId="164" fontId="7" fillId="0" borderId="39" applyAlignment="1" pivotButton="0" quotePrefix="0" xfId="1">
      <alignment horizontal="center" vertical="center"/>
    </xf>
    <xf numFmtId="166" fontId="7" fillId="0" borderId="51" applyAlignment="1" pivotButton="0" quotePrefix="0" xfId="1">
      <alignment horizontal="center" vertical="center"/>
    </xf>
    <xf numFmtId="164" fontId="7" fillId="0" borderId="52" applyAlignment="1" pivotButton="0" quotePrefix="0" xfId="1">
      <alignment horizontal="center" vertical="center"/>
    </xf>
    <xf numFmtId="166" fontId="7" fillId="0" borderId="42" applyAlignment="1" pivotButton="0" quotePrefix="0" xfId="1">
      <alignment horizontal="center" vertical="center" shrinkToFit="1"/>
    </xf>
    <xf numFmtId="0" fontId="7" fillId="0" borderId="12" applyAlignment="1" pivotButton="0" quotePrefix="0" xfId="1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170" fontId="7" fillId="0" borderId="12" applyAlignment="1" pivotButton="0" quotePrefix="1" xfId="2">
      <alignment horizontal="center" vertical="center" wrapText="1"/>
    </xf>
    <xf numFmtId="164" fontId="7" fillId="0" borderId="37" applyAlignment="1" pivotButton="0" quotePrefix="1" xfId="1">
      <alignment horizontal="center" vertical="center"/>
    </xf>
    <xf numFmtId="0" fontId="7" fillId="0" borderId="55" applyAlignment="1" pivotButton="0" quotePrefix="0" xfId="1">
      <alignment horizontal="center" vertical="center"/>
    </xf>
    <xf numFmtId="166" fontId="7" fillId="2" borderId="57" applyAlignment="1" pivotButton="0" quotePrefix="0" xfId="1">
      <alignment vertical="center" shrinkToFit="1"/>
    </xf>
    <xf numFmtId="170" fontId="7" fillId="0" borderId="55" applyAlignment="1" pivotButton="0" quotePrefix="0" xfId="1">
      <alignment vertical="center"/>
    </xf>
    <xf numFmtId="164" fontId="7" fillId="0" borderId="60" applyAlignment="1" pivotButton="0" quotePrefix="0" xfId="1">
      <alignment horizontal="center" vertical="center"/>
    </xf>
    <xf numFmtId="0" fontId="7" fillId="0" borderId="61" applyAlignment="1" pivotButton="0" quotePrefix="0" xfId="0">
      <alignment horizontal="center" vertical="center"/>
    </xf>
    <xf numFmtId="170" fontId="7" fillId="0" borderId="61" applyAlignment="1" pivotButton="0" quotePrefix="0" xfId="1">
      <alignment horizontal="right" vertical="center"/>
    </xf>
    <xf numFmtId="170" fontId="7" fillId="0" borderId="42" applyAlignment="1" pivotButton="0" quotePrefix="0" xfId="0">
      <alignment horizontal="right" vertical="center"/>
    </xf>
    <xf numFmtId="0" fontId="7" fillId="0" borderId="42" applyAlignment="1" pivotButton="0" quotePrefix="0" xfId="0">
      <alignment horizontal="right" vertical="center"/>
    </xf>
    <xf numFmtId="166" fontId="7" fillId="0" borderId="42" applyAlignment="1" pivotButton="0" quotePrefix="0" xfId="1">
      <alignment horizontal="right" vertical="center"/>
    </xf>
    <xf numFmtId="166" fontId="7" fillId="0" borderId="44" applyAlignment="1" pivotButton="0" quotePrefix="0" xfId="1">
      <alignment vertical="center"/>
    </xf>
    <xf numFmtId="170" fontId="7" fillId="0" borderId="61" applyAlignment="1" pivotButton="0" quotePrefix="0" xfId="0">
      <alignment horizontal="right" vertical="center"/>
    </xf>
    <xf numFmtId="0" fontId="7" fillId="0" borderId="61" applyAlignment="1" pivotButton="0" quotePrefix="0" xfId="0">
      <alignment horizontal="right" vertical="center"/>
    </xf>
    <xf numFmtId="0" fontId="7" fillId="0" borderId="7" applyAlignment="1" pivotButton="0" quotePrefix="0" xfId="0">
      <alignment horizontal="left" vertical="center" wrapText="1" shrinkToFi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 shrinkToFit="1"/>
    </xf>
    <xf numFmtId="0" fontId="9" fillId="0" borderId="5" applyAlignment="1" pivotButton="0" quotePrefix="0" xfId="0">
      <alignment vertical="center" shrinkToFit="1"/>
    </xf>
    <xf numFmtId="0" fontId="6" fillId="0" borderId="7" applyAlignment="1" pivotButton="0" quotePrefix="0" xfId="0">
      <alignment horizontal="left" vertical="center" wrapText="1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8" applyAlignment="1" pivotButton="0" quotePrefix="0" xfId="0">
      <alignment horizontal="left" vertical="center" shrinkToFit="1"/>
    </xf>
    <xf numFmtId="0" fontId="6" fillId="0" borderId="15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shrinkToFit="1"/>
    </xf>
    <xf numFmtId="0" fontId="7" fillId="2" borderId="7" applyAlignment="1" pivotButton="0" quotePrefix="0" xfId="0">
      <alignment horizontal="left" vertical="center" shrinkToFit="1"/>
    </xf>
    <xf numFmtId="0" fontId="7" fillId="2" borderId="0" applyAlignment="1" pivotButton="0" quotePrefix="0" xfId="0">
      <alignment horizontal="left" vertical="center" shrinkToFit="1"/>
    </xf>
    <xf numFmtId="0" fontId="7" fillId="2" borderId="8" applyAlignment="1" pivotButton="0" quotePrefix="0" xfId="0">
      <alignment horizontal="left" vertical="center" shrinkToFit="1"/>
    </xf>
    <xf numFmtId="0" fontId="6" fillId="2" borderId="10" applyAlignment="1" pivotButton="0" quotePrefix="0" xfId="0">
      <alignment vertical="center" shrinkToFit="1"/>
    </xf>
    <xf numFmtId="0" fontId="9" fillId="2" borderId="9" applyAlignment="1" pivotButton="0" quotePrefix="0" xfId="0">
      <alignment vertical="center" shrinkToFit="1"/>
    </xf>
    <xf numFmtId="0" fontId="9" fillId="2" borderId="11" applyAlignment="1" pivotButton="0" quotePrefix="0" xfId="0">
      <alignment vertical="center" shrinkToFit="1"/>
    </xf>
    <xf numFmtId="0" fontId="6" fillId="0" borderId="10" applyAlignment="1" pivotButton="0" quotePrefix="0" xfId="0">
      <alignment horizontal="left" vertical="center" shrinkToFit="1"/>
    </xf>
    <xf numFmtId="0" fontId="6" fillId="0" borderId="9" applyAlignment="1" pivotButton="0" quotePrefix="0" xfId="0">
      <alignment horizontal="left" vertical="center" shrinkToFit="1"/>
    </xf>
    <xf numFmtId="0" fontId="8" fillId="0" borderId="9" applyAlignment="1" pivotButton="0" quotePrefix="0" xfId="0">
      <alignment horizontal="left" vertical="center" shrinkToFit="1"/>
    </xf>
    <xf numFmtId="0" fontId="8" fillId="0" borderId="11" applyAlignment="1" pivotButton="0" quotePrefix="0" xfId="0">
      <alignment horizontal="left" vertical="center" shrinkToFit="1"/>
    </xf>
    <xf numFmtId="0" fontId="7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 shrinkToFit="1"/>
    </xf>
    <xf numFmtId="0" fontId="6" fillId="0" borderId="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9" fillId="0" borderId="17" applyAlignment="1" pivotButton="0" quotePrefix="0" xfId="0">
      <alignment horizontal="center" vertical="center" shrinkToFit="1"/>
    </xf>
    <xf numFmtId="0" fontId="9" fillId="0" borderId="5" applyAlignment="1" pivotButton="0" quotePrefix="0" xfId="0">
      <alignment horizontal="center" vertical="center" shrinkToFit="1"/>
    </xf>
    <xf numFmtId="0" fontId="9" fillId="0" borderId="18" applyAlignment="1" pivotButton="0" quotePrefix="0" xfId="0">
      <alignment horizontal="center" vertical="center" shrinkToFit="1"/>
    </xf>
    <xf numFmtId="0" fontId="6" fillId="0" borderId="18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/>
    </xf>
    <xf numFmtId="166" fontId="7" fillId="0" borderId="21" applyAlignment="1" pivotButton="0" quotePrefix="0" xfId="1">
      <alignment vertical="center" shrinkToFit="1"/>
    </xf>
    <xf numFmtId="0" fontId="7" fillId="0" borderId="0" applyAlignment="1" pivotButton="0" quotePrefix="0" xfId="0">
      <alignment vertical="center" shrinkToFit="1"/>
    </xf>
    <xf numFmtId="0" fontId="7" fillId="0" borderId="22" applyAlignment="1" pivotButton="0" quotePrefix="0" xfId="0">
      <alignment vertical="center" shrinkToFit="1"/>
    </xf>
    <xf numFmtId="0" fontId="6" fillId="0" borderId="1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6" fontId="7" fillId="0" borderId="21" applyAlignment="1" pivotButton="0" quotePrefix="0" xfId="1">
      <alignment horizontal="center" vertical="center" wrapText="1" shrinkToFit="1"/>
    </xf>
    <xf numFmtId="166" fontId="7" fillId="0" borderId="0" applyAlignment="1" pivotButton="0" quotePrefix="0" xfId="1">
      <alignment horizontal="center" vertical="center" shrinkToFit="1"/>
    </xf>
    <xf numFmtId="166" fontId="7" fillId="0" borderId="22" applyAlignment="1" pivotButton="0" quotePrefix="0" xfId="1">
      <alignment horizontal="center" vertical="center" shrinkToFit="1"/>
    </xf>
    <xf numFmtId="0" fontId="6" fillId="0" borderId="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66" fontId="7" fillId="0" borderId="0" applyAlignment="1" pivotButton="0" quotePrefix="0" xfId="1">
      <alignment horizontal="center" vertical="center" wrapText="1" shrinkToFit="1"/>
    </xf>
    <xf numFmtId="166" fontId="7" fillId="0" borderId="22" applyAlignment="1" pivotButton="0" quotePrefix="0" xfId="1">
      <alignment horizontal="center" vertical="center" wrapText="1" shrinkToFit="1"/>
    </xf>
    <xf numFmtId="0" fontId="10" fillId="0" borderId="10" applyAlignment="1" pivotButton="0" quotePrefix="0" xfId="0">
      <alignment horizontal="center" vertical="center" shrinkToFit="1"/>
    </xf>
    <xf numFmtId="0" fontId="10" fillId="0" borderId="9" applyAlignment="1" pivotButton="0" quotePrefix="0" xfId="0">
      <alignment vertical="center" shrinkToFit="1"/>
    </xf>
    <xf numFmtId="0" fontId="10" fillId="0" borderId="11" applyAlignment="1" pivotButton="0" quotePrefix="0" xfId="0">
      <alignment vertical="center" shrinkToFit="1"/>
    </xf>
    <xf numFmtId="166" fontId="12" fillId="0" borderId="21" applyAlignment="1" pivotButton="0" quotePrefix="0" xfId="1">
      <alignment horizontal="left" vertical="center" shrinkToFit="1"/>
    </xf>
    <xf numFmtId="166" fontId="12" fillId="0" borderId="0" applyAlignment="1" pivotButton="0" quotePrefix="0" xfId="1">
      <alignment horizontal="left" vertical="center" shrinkToFit="1"/>
    </xf>
    <xf numFmtId="166" fontId="12" fillId="0" borderId="22" applyAlignment="1" pivotButton="0" quotePrefix="0" xfId="1">
      <alignment horizontal="left" vertical="center" shrinkToFit="1"/>
    </xf>
    <xf numFmtId="166" fontId="7" fillId="0" borderId="21" applyAlignment="1" pivotButton="0" quotePrefix="0" xfId="1">
      <alignment horizontal="left" vertical="center" wrapText="1" shrinkToFit="1"/>
    </xf>
    <xf numFmtId="166" fontId="7" fillId="0" borderId="0" applyAlignment="1" pivotButton="0" quotePrefix="0" xfId="1">
      <alignment horizontal="left" vertical="center" shrinkToFit="1"/>
    </xf>
    <xf numFmtId="166" fontId="7" fillId="0" borderId="22" applyAlignment="1" pivotButton="0" quotePrefix="0" xfId="1">
      <alignment horizontal="left" vertical="center" shrinkToFit="1"/>
    </xf>
    <xf numFmtId="166" fontId="8" fillId="0" borderId="21" applyAlignment="1" pivotButton="0" quotePrefix="0" xfId="1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22" applyAlignment="1" pivotButton="0" quotePrefix="0" xfId="0">
      <alignment horizontal="left" vertical="center" shrinkToFit="1"/>
    </xf>
    <xf numFmtId="0" fontId="8" fillId="0" borderId="34" applyAlignment="1" pivotButton="0" quotePrefix="0" xfId="0">
      <alignment horizontal="left" vertical="center" shrinkToFit="1"/>
    </xf>
    <xf numFmtId="0" fontId="7" fillId="0" borderId="31" applyAlignment="1" pivotButton="0" quotePrefix="0" xfId="0">
      <alignment horizontal="left" vertical="center" wrapText="1" shrinkToFit="1"/>
    </xf>
    <xf numFmtId="0" fontId="5" fillId="0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shrinkToFit="1"/>
    </xf>
    <xf numFmtId="0" fontId="8" fillId="0" borderId="5" applyAlignment="1" pivotButton="0" quotePrefix="0" xfId="0">
      <alignment vertical="center" shrinkToFit="1"/>
    </xf>
    <xf numFmtId="0" fontId="6" fillId="0" borderId="31" applyAlignment="1" pivotButton="0" quotePrefix="0" xfId="0">
      <alignment horizontal="left" vertical="center" wrapText="1" shrinkToFit="1"/>
    </xf>
    <xf numFmtId="0" fontId="6" fillId="0" borderId="37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166" fontId="7" fillId="0" borderId="50" applyAlignment="1" pivotButton="0" quotePrefix="0" xfId="1">
      <alignment horizontal="center" vertical="center" wrapText="1" shrinkToFit="1"/>
    </xf>
    <xf numFmtId="166" fontId="7" fillId="0" borderId="43" applyAlignment="1" pivotButton="0" quotePrefix="0" xfId="1">
      <alignment horizontal="center" vertical="center" wrapText="1" shrinkToFit="1"/>
    </xf>
    <xf numFmtId="0" fontId="7" fillId="0" borderId="34" applyAlignment="1" pivotButton="0" quotePrefix="0" xfId="0">
      <alignment vertical="center" shrinkToFit="1"/>
    </xf>
    <xf numFmtId="0" fontId="7" fillId="0" borderId="17" applyAlignment="1" pivotButton="0" quotePrefix="0" xfId="1">
      <alignment horizontal="center" vertical="center"/>
    </xf>
    <xf numFmtId="0" fontId="7" fillId="0" borderId="5" applyAlignment="1" pivotButton="0" quotePrefix="0" xfId="1">
      <alignment horizontal="center" vertical="center"/>
    </xf>
    <xf numFmtId="0" fontId="7" fillId="0" borderId="18" applyAlignment="1" pivotButton="0" quotePrefix="0" xfId="1">
      <alignment horizontal="center" vertical="center"/>
    </xf>
    <xf numFmtId="0" fontId="6" fillId="0" borderId="36" applyAlignment="1" pivotButton="0" quotePrefix="0" xfId="0">
      <alignment horizontal="center" vertical="center" wrapText="1"/>
    </xf>
    <xf numFmtId="0" fontId="6" fillId="0" borderId="38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9" fillId="0" borderId="12" applyAlignment="1" pivotButton="0" quotePrefix="0" xfId="0">
      <alignment horizontal="center" vertical="center" shrinkToFit="1"/>
    </xf>
    <xf numFmtId="0" fontId="9" fillId="0" borderId="16" applyAlignment="1" pivotButton="0" quotePrefix="0" xfId="0">
      <alignment horizontal="center" vertical="center" shrinkToFit="1"/>
    </xf>
    <xf numFmtId="0" fontId="7" fillId="0" borderId="53" applyAlignment="1" pivotButton="0" quotePrefix="0" xfId="1">
      <alignment horizontal="center" vertical="center" shrinkToFit="1"/>
    </xf>
    <xf numFmtId="166" fontId="7" fillId="0" borderId="58" applyAlignment="1" pivotButton="0" quotePrefix="0" xfId="1">
      <alignment horizontal="center" vertical="center" wrapText="1" shrinkToFit="1"/>
    </xf>
    <xf numFmtId="166" fontId="7" fillId="0" borderId="59" applyAlignment="1" pivotButton="0" quotePrefix="0" xfId="1">
      <alignment horizontal="center" vertical="center" wrapText="1" shrinkToFit="1"/>
    </xf>
    <xf numFmtId="0" fontId="7" fillId="0" borderId="5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166" fontId="7" fillId="0" borderId="13" applyAlignment="1" pivotButton="0" quotePrefix="0" xfId="1">
      <alignment horizontal="center" vertical="center" shrinkToFit="1"/>
    </xf>
    <xf numFmtId="166" fontId="7" fillId="0" borderId="14" applyAlignment="1" pivotButton="0" quotePrefix="0" xfId="1">
      <alignment horizontal="center" vertical="center" shrinkToFit="1"/>
    </xf>
    <xf numFmtId="0" fontId="7" fillId="0" borderId="13" applyAlignment="1" pivotButton="0" quotePrefix="0" xfId="0">
      <alignment horizontal="center" vertical="center" wrapText="1" shrinkToFit="1"/>
    </xf>
    <xf numFmtId="0" fontId="7" fillId="0" borderId="14" applyAlignment="1" pivotButton="0" quotePrefix="0" xfId="0">
      <alignment horizontal="center" vertical="center" wrapText="1" shrinkToFit="1"/>
    </xf>
    <xf numFmtId="166" fontId="7" fillId="2" borderId="56" applyAlignment="1" pivotButton="0" quotePrefix="0" xfId="1">
      <alignment horizontal="center" vertical="center" shrinkToFit="1"/>
    </xf>
    <xf numFmtId="166" fontId="7" fillId="2" borderId="57" applyAlignment="1" pivotButton="0" quotePrefix="0" xfId="1">
      <alignment horizontal="center" vertical="center" shrinkToFit="1"/>
    </xf>
    <xf numFmtId="166" fontId="7" fillId="2" borderId="58" applyAlignment="1" pivotButton="0" quotePrefix="0" xfId="1">
      <alignment horizontal="center" vertical="center" shrinkToFit="1"/>
    </xf>
    <xf numFmtId="166" fontId="7" fillId="2" borderId="59" applyAlignment="1" pivotButton="0" quotePrefix="0" xfId="1">
      <alignment horizontal="center" vertical="center" shrinkToFit="1"/>
    </xf>
    <xf numFmtId="0" fontId="5" fillId="0" borderId="6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66" applyAlignment="1" pivotButton="0" quotePrefix="0" xfId="0">
      <alignment horizontal="left" vertical="center" wrapText="1" shrinkToFit="1"/>
    </xf>
    <xf numFmtId="0" fontId="0" fillId="0" borderId="8" pivotButton="0" quotePrefix="0" xfId="0"/>
    <xf numFmtId="0" fontId="7" fillId="0" borderId="66" applyAlignment="1" pivotButton="0" quotePrefix="0" xfId="0">
      <alignment horizontal="left" vertical="center" wrapText="1" shrinkToFit="1"/>
    </xf>
    <xf numFmtId="0" fontId="7" fillId="0" borderId="66" applyAlignment="1" pivotButton="0" quotePrefix="0" xfId="0">
      <alignment horizontal="left" vertical="center" shrinkToFit="1"/>
    </xf>
    <xf numFmtId="0" fontId="7" fillId="2" borderId="66" applyAlignment="1" pivotButton="0" quotePrefix="0" xfId="0">
      <alignment horizontal="left" vertical="center" shrinkToFit="1"/>
    </xf>
    <xf numFmtId="0" fontId="6" fillId="2" borderId="67" applyAlignment="1" pivotButton="0" quotePrefix="0" xfId="0">
      <alignment vertical="center" shrinkToFit="1"/>
    </xf>
    <xf numFmtId="0" fontId="0" fillId="0" borderId="9" pivotButton="0" quotePrefix="0" xfId="0"/>
    <xf numFmtId="0" fontId="0" fillId="0" borderId="11" pivotButton="0" quotePrefix="0" xfId="0"/>
    <xf numFmtId="0" fontId="6" fillId="0" borderId="67" applyAlignment="1" pivotButton="0" quotePrefix="0" xfId="0">
      <alignment horizontal="left" vertical="center" shrinkToFit="1"/>
    </xf>
    <xf numFmtId="0" fontId="6" fillId="0" borderId="63" applyAlignment="1" pivotButton="0" quotePrefix="0" xfId="0">
      <alignment horizontal="center" vertical="center" wrapText="1"/>
    </xf>
    <xf numFmtId="0" fontId="0" fillId="0" borderId="14" pivotButton="0" quotePrefix="0" xfId="0"/>
    <xf numFmtId="0" fontId="9" fillId="0" borderId="68" applyAlignment="1" pivotButton="0" quotePrefix="0" xfId="0">
      <alignment horizontal="center" vertical="center" shrinkToFit="1"/>
    </xf>
    <xf numFmtId="0" fontId="6" fillId="0" borderId="69" applyAlignment="1" pivotButton="0" quotePrefix="0" xfId="0">
      <alignment horizontal="center" vertical="center" wrapText="1"/>
    </xf>
    <xf numFmtId="0" fontId="6" fillId="0" borderId="68" applyAlignment="1" pivotButton="0" quotePrefix="0" xfId="0">
      <alignment horizontal="center" vertical="center" wrapText="1"/>
    </xf>
    <xf numFmtId="0" fontId="6" fillId="0" borderId="6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0" fillId="0" borderId="19" pivotButton="0" quotePrefix="0" xfId="0"/>
    <xf numFmtId="0" fontId="6" fillId="0" borderId="62" applyAlignment="1" pivotButton="0" quotePrefix="0" xfId="0">
      <alignment horizontal="center" vertical="center"/>
    </xf>
    <xf numFmtId="166" fontId="7" fillId="0" borderId="20" applyAlignment="1" pivotButton="0" quotePrefix="0" xfId="1">
      <alignment horizontal="center" vertical="center" wrapText="1" shrinkToFit="1"/>
    </xf>
    <xf numFmtId="169" fontId="7" fillId="2" borderId="22" applyAlignment="1" pivotButton="0" quotePrefix="0" xfId="0">
      <alignment horizontal="center" vertical="center"/>
    </xf>
    <xf numFmtId="164" fontId="7" fillId="0" borderId="20" applyAlignment="1" pivotButton="0" quotePrefix="0" xfId="1">
      <alignment horizontal="center" vertical="center"/>
    </xf>
    <xf numFmtId="167" fontId="6" fillId="0" borderId="23" applyAlignment="1" pivotButton="0" quotePrefix="0" xfId="1">
      <alignment horizontal="center" vertical="center"/>
    </xf>
    <xf numFmtId="0" fontId="6" fillId="0" borderId="64" applyAlignment="1" pivotButton="0" quotePrefix="0" xfId="0">
      <alignment horizontal="center" vertical="center"/>
    </xf>
    <xf numFmtId="164" fontId="7" fillId="0" borderId="20" applyAlignment="1" pivotButton="0" quotePrefix="0" xfId="1">
      <alignment vertical="center"/>
    </xf>
    <xf numFmtId="164" fontId="7" fillId="0" borderId="23" applyAlignment="1" pivotButton="0" quotePrefix="0" xfId="1">
      <alignment horizontal="center" vertical="center"/>
    </xf>
    <xf numFmtId="166" fontId="7" fillId="0" borderId="20" applyAlignment="1" pivotButton="0" quotePrefix="0" xfId="1">
      <alignment vertical="center" shrinkToFit="1"/>
    </xf>
    <xf numFmtId="168" fontId="7" fillId="0" borderId="20" applyAlignment="1" pivotButton="0" quotePrefix="1" xfId="2">
      <alignment horizontal="right" vertical="center"/>
    </xf>
    <xf numFmtId="164" fontId="7" fillId="0" borderId="23" applyAlignment="1" pivotButton="0" quotePrefix="1" xfId="1">
      <alignment horizontal="right" vertical="center"/>
    </xf>
    <xf numFmtId="166" fontId="12" fillId="0" borderId="20" applyAlignment="1" pivotButton="0" quotePrefix="0" xfId="1">
      <alignment horizontal="left" vertical="center" shrinkToFit="1"/>
    </xf>
    <xf numFmtId="164" fontId="7" fillId="0" borderId="22" applyAlignment="1" pivotButton="0" quotePrefix="1" xfId="1">
      <alignment horizontal="right" vertical="center"/>
    </xf>
    <xf numFmtId="166" fontId="7" fillId="0" borderId="20" applyAlignment="1" pivotButton="0" quotePrefix="0" xfId="1">
      <alignment horizontal="left" vertical="center" wrapText="1" shrinkToFit="1"/>
    </xf>
    <xf numFmtId="165" fontId="7" fillId="0" borderId="0" applyAlignment="1" pivotButton="0" quotePrefix="0" xfId="0">
      <alignment vertical="center"/>
    </xf>
    <xf numFmtId="165" fontId="7" fillId="0" borderId="23" applyAlignment="1" pivotButton="0" quotePrefix="0" xfId="0">
      <alignment vertical="center"/>
    </xf>
    <xf numFmtId="166" fontId="8" fillId="0" borderId="20" applyAlignment="1" pivotButton="0" quotePrefix="0" xfId="1">
      <alignment horizontal="left" vertical="center" shrinkToFit="1"/>
    </xf>
    <xf numFmtId="0" fontId="10" fillId="0" borderId="67" applyAlignment="1" pivotButton="0" quotePrefix="0" xfId="0">
      <alignment horizontal="center" vertical="center" shrinkToFit="1"/>
    </xf>
    <xf numFmtId="0" fontId="5" fillId="0" borderId="7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6" fillId="0" borderId="79" applyAlignment="1" pivotButton="0" quotePrefix="0" xfId="0">
      <alignment horizontal="left" vertical="center" wrapText="1" shrinkToFit="1"/>
    </xf>
    <xf numFmtId="0" fontId="7" fillId="0" borderId="79" applyAlignment="1" pivotButton="0" quotePrefix="0" xfId="0">
      <alignment horizontal="left" vertical="center" wrapText="1" shrinkToFit="1"/>
    </xf>
    <xf numFmtId="0" fontId="6" fillId="0" borderId="80" applyAlignment="1" pivotButton="0" quotePrefix="0" xfId="0">
      <alignment horizontal="left" vertical="center" shrinkToFit="1"/>
    </xf>
    <xf numFmtId="0" fontId="0" fillId="0" borderId="34" pivotButton="0" quotePrefix="0" xfId="0"/>
    <xf numFmtId="0" fontId="6" fillId="0" borderId="75" applyAlignment="1" pivotButton="0" quotePrefix="0" xfId="0">
      <alignment horizontal="center" vertical="center" wrapText="1"/>
    </xf>
    <xf numFmtId="0" fontId="6" fillId="0" borderId="68" applyAlignment="1" pivotButton="0" quotePrefix="0" xfId="0">
      <alignment horizontal="center" vertical="center" shrinkToFit="1"/>
    </xf>
    <xf numFmtId="0" fontId="9" fillId="0" borderId="69" applyAlignment="1" pivotButton="0" quotePrefix="0" xfId="0">
      <alignment horizontal="center" vertical="center" shrinkToFit="1"/>
    </xf>
    <xf numFmtId="0" fontId="6" fillId="0" borderId="76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49" pivotButton="0" quotePrefix="0" xfId="0"/>
    <xf numFmtId="170" fontId="7" fillId="0" borderId="47" applyAlignment="1" pivotButton="0" quotePrefix="0" xfId="0">
      <alignment horizontal="right" vertical="center"/>
    </xf>
    <xf numFmtId="166" fontId="7" fillId="0" borderId="47" applyAlignment="1" pivotButton="0" quotePrefix="0" xfId="1">
      <alignment horizontal="right" vertical="center"/>
    </xf>
    <xf numFmtId="166" fontId="7" fillId="0" borderId="41" applyAlignment="1" pivotButton="0" quotePrefix="0" xfId="1">
      <alignment vertical="center"/>
    </xf>
    <xf numFmtId="0" fontId="0" fillId="0" borderId="43" pivotButton="0" quotePrefix="0" xfId="0"/>
    <xf numFmtId="170" fontId="7" fillId="0" borderId="42" applyAlignment="1" pivotButton="0" quotePrefix="0" xfId="0">
      <alignment horizontal="right" vertical="center"/>
    </xf>
    <xf numFmtId="166" fontId="7" fillId="0" borderId="42" applyAlignment="1" pivotButton="0" quotePrefix="0" xfId="1">
      <alignment horizontal="right" vertical="center"/>
    </xf>
    <xf numFmtId="166" fontId="7" fillId="0" borderId="44" applyAlignment="1" pivotButton="0" quotePrefix="0" xfId="1">
      <alignment vertical="center"/>
    </xf>
    <xf numFmtId="166" fontId="7" fillId="0" borderId="42" applyAlignment="1" pivotButton="0" quotePrefix="0" xfId="1">
      <alignment horizontal="center" vertical="center" wrapText="1" shrinkToFit="1"/>
    </xf>
    <xf numFmtId="170" fontId="7" fillId="0" borderId="42" applyAlignment="1" pivotButton="0" quotePrefix="0" xfId="1">
      <alignment horizontal="right" vertical="center"/>
    </xf>
    <xf numFmtId="166" fontId="7" fillId="0" borderId="44" applyAlignment="1" pivotButton="0" quotePrefix="0" xfId="1">
      <alignment horizontal="center" vertical="center"/>
    </xf>
    <xf numFmtId="0" fontId="0" fillId="0" borderId="53" pivotButton="0" quotePrefix="0" xfId="0"/>
    <xf numFmtId="166" fontId="7" fillId="0" borderId="42" applyAlignment="1" pivotButton="0" quotePrefix="0" xfId="1">
      <alignment horizontal="center" vertical="center" shrinkToFit="1"/>
    </xf>
    <xf numFmtId="164" fontId="7" fillId="0" borderId="52" applyAlignment="1" pivotButton="0" quotePrefix="0" xfId="1">
      <alignment horizontal="center" vertical="center"/>
    </xf>
    <xf numFmtId="166" fontId="7" fillId="0" borderId="61" applyAlignment="1" pivotButton="0" quotePrefix="0" xfId="1">
      <alignment horizontal="center" vertical="center" wrapText="1" shrinkToFit="1"/>
    </xf>
    <xf numFmtId="0" fontId="0" fillId="0" borderId="59" pivotButton="0" quotePrefix="0" xfId="0"/>
    <xf numFmtId="170" fontId="7" fillId="0" borderId="61" applyAlignment="1" pivotButton="0" quotePrefix="0" xfId="0">
      <alignment horizontal="right" vertical="center"/>
    </xf>
    <xf numFmtId="170" fontId="7" fillId="0" borderId="61" applyAlignment="1" pivotButton="0" quotePrefix="0" xfId="1">
      <alignment horizontal="right" vertical="center"/>
    </xf>
    <xf numFmtId="166" fontId="7" fillId="0" borderId="51" applyAlignment="1" pivotButton="0" quotePrefix="0" xfId="1">
      <alignment horizontal="center" vertical="center"/>
    </xf>
    <xf numFmtId="0" fontId="7" fillId="0" borderId="16" applyAlignment="1" pivotButton="0" quotePrefix="0" xfId="1">
      <alignment horizontal="center" vertical="center"/>
    </xf>
    <xf numFmtId="170" fontId="7" fillId="0" borderId="16" applyAlignment="1" pivotButton="0" quotePrefix="0" xfId="1">
      <alignment vertical="center"/>
    </xf>
    <xf numFmtId="164" fontId="7" fillId="0" borderId="39" applyAlignment="1" pivotButton="0" quotePrefix="0" xfId="1">
      <alignment horizontal="center" vertical="center"/>
    </xf>
    <xf numFmtId="0" fontId="7" fillId="0" borderId="70" applyAlignment="1" pivotButton="0" quotePrefix="0" xfId="0">
      <alignment horizontal="center" vertical="center"/>
    </xf>
    <xf numFmtId="166" fontId="7" fillId="0" borderId="12" applyAlignment="1" pivotButton="0" quotePrefix="0" xfId="1">
      <alignment horizontal="center" vertical="center" shrinkToFit="1"/>
    </xf>
    <xf numFmtId="0" fontId="7" fillId="0" borderId="12" applyAlignment="1" pivotButton="0" quotePrefix="0" xfId="0">
      <alignment horizontal="center" vertical="center" wrapText="1" shrinkToFit="1"/>
    </xf>
    <xf numFmtId="170" fontId="7" fillId="0" borderId="12" applyAlignment="1" pivotButton="0" quotePrefix="1" xfId="2">
      <alignment horizontal="center" vertical="center" wrapText="1"/>
    </xf>
    <xf numFmtId="164" fontId="7" fillId="0" borderId="37" applyAlignment="1" pivotButton="0" quotePrefix="1" xfId="1">
      <alignment horizontal="center" vertical="center"/>
    </xf>
    <xf numFmtId="0" fontId="0" fillId="0" borderId="54" pivotButton="0" quotePrefix="0" xfId="0"/>
    <xf numFmtId="166" fontId="7" fillId="2" borderId="55" applyAlignment="1" pivotButton="0" quotePrefix="0" xfId="1">
      <alignment horizontal="center" vertical="center" shrinkToFit="1"/>
    </xf>
    <xf numFmtId="0" fontId="0" fillId="0" borderId="57" pivotButton="0" quotePrefix="0" xfId="0"/>
    <xf numFmtId="166" fontId="7" fillId="2" borderId="61" applyAlignment="1" pivotButton="0" quotePrefix="0" xfId="1">
      <alignment horizontal="center" vertical="center" shrinkToFit="1"/>
    </xf>
    <xf numFmtId="166" fontId="7" fillId="2" borderId="57" applyAlignment="1" pivotButton="0" quotePrefix="0" xfId="1">
      <alignment vertical="center" shrinkToFit="1"/>
    </xf>
    <xf numFmtId="170" fontId="7" fillId="0" borderId="55" applyAlignment="1" pivotButton="0" quotePrefix="0" xfId="1">
      <alignment vertical="center"/>
    </xf>
    <xf numFmtId="164" fontId="7" fillId="0" borderId="60" applyAlignment="1" pivotButton="0" quotePrefix="0" xfId="1">
      <alignment horizontal="center" vertical="center"/>
    </xf>
  </cellXfs>
  <cellStyles count="3">
    <cellStyle name="표준" xfId="0" builtinId="0"/>
    <cellStyle name="쉼표 [0]" xfId="1" builtinId="6"/>
    <cellStyle name="통화 [0]" xfId="2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132521</colOff>
      <row>40</row>
      <rowOff>77303</rowOff>
    </from>
    <to>
      <col>7</col>
      <colOff>612464</colOff>
      <row>44</row>
      <rowOff>106599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1869" y="8067260"/>
          <a:ext cx="1973698" cy="805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40471</colOff>
      <row>29</row>
      <rowOff>71521</rowOff>
    </from>
    <to>
      <col>7</col>
      <colOff>637047</colOff>
      <row>33</row>
      <rowOff>103357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51118" y="7878286"/>
          <a:ext cx="1992455" cy="80877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tabSelected="1" view="pageBreakPreview" zoomScale="115" zoomScaleNormal="85" zoomScaleSheetLayoutView="115" workbookViewId="0">
      <selection activeCell="A1" sqref="A1:I2"/>
    </sheetView>
  </sheetViews>
  <sheetFormatPr baseColWidth="8" defaultRowHeight="14"/>
  <cols>
    <col width="11.33203125" customWidth="1" min="1" max="1"/>
    <col width="4.6640625" customWidth="1" min="2" max="2"/>
    <col width="8.6640625" customWidth="1" min="4" max="4"/>
    <col width="6.1640625" customWidth="1" min="5" max="5"/>
    <col width="11.6640625" customWidth="1" min="6" max="6"/>
    <col width="8" bestFit="1" customWidth="1" min="7" max="7"/>
    <col width="9.58203125" customWidth="1" min="8" max="8"/>
    <col width="12.6640625" customWidth="1" min="9" max="9"/>
  </cols>
  <sheetData>
    <row r="1" ht="15" customFormat="1" customHeight="1" s="1" thickTop="1">
      <c r="A1" s="212" t="inlineStr">
        <is>
          <t>COMMERCIAL INVOICE</t>
        </is>
      </c>
      <c r="B1" s="213" t="n"/>
      <c r="C1" s="213" t="n"/>
      <c r="D1" s="213" t="n"/>
      <c r="E1" s="213" t="n"/>
      <c r="F1" s="213" t="n"/>
      <c r="G1" s="213" t="n"/>
      <c r="H1" s="213" t="n"/>
      <c r="I1" s="214" t="n"/>
    </row>
    <row r="2" ht="15" customFormat="1" customHeight="1" s="1" thickBot="1">
      <c r="A2" s="215" t="n"/>
      <c r="B2" s="216" t="n"/>
      <c r="C2" s="216" t="n"/>
      <c r="D2" s="216" t="n"/>
      <c r="E2" s="216" t="n"/>
      <c r="F2" s="216" t="n"/>
      <c r="G2" s="216" t="n"/>
      <c r="H2" s="216" t="n"/>
      <c r="I2" s="217" t="n"/>
    </row>
    <row r="3" ht="17.15" customFormat="1" customHeight="1" s="1" thickTop="1">
      <c r="A3" s="5" t="inlineStr">
        <is>
          <t>SELLER/MANUFACTURER</t>
        </is>
      </c>
      <c r="B3" s="6" t="n"/>
      <c r="C3" s="6" t="n"/>
      <c r="D3" s="6" t="n"/>
      <c r="E3" s="6" t="n"/>
      <c r="F3" s="5" t="inlineStr">
        <is>
          <t>INVOICE NO : TS-260601-01</t>
        </is>
      </c>
      <c r="G3" s="6" t="n"/>
      <c r="H3" s="6" t="n"/>
      <c r="I3" s="7" t="n"/>
    </row>
    <row r="4" ht="17.15" customFormat="1" customHeight="1" s="1" thickBot="1">
      <c r="A4" s="8" t="inlineStr">
        <is>
          <t>DAEYANG ELECTRIC CO LTD</t>
        </is>
      </c>
      <c r="B4" s="9" t="n"/>
      <c r="C4" s="9" t="n"/>
      <c r="D4" s="9" t="n"/>
      <c r="E4" s="10" t="n"/>
      <c r="F4" s="47" t="inlineStr">
        <is>
          <t>INVOICE DATE : 1st.Jun.2026</t>
        </is>
      </c>
      <c r="G4" s="12" t="n"/>
      <c r="H4" s="12" t="n"/>
      <c r="I4" s="13" t="n"/>
    </row>
    <row r="5" ht="17.15" customFormat="1" customHeight="1" s="1" thickTop="1">
      <c r="A5" s="11" t="inlineStr">
        <is>
          <t xml:space="preserve">16 Venture-ro 100beon-gil, Yeonsu-gu, </t>
        </is>
      </c>
      <c r="B5" s="12" t="n"/>
      <c r="C5" s="12" t="n"/>
      <c r="D5" s="12" t="n"/>
      <c r="E5" s="12" t="n"/>
      <c r="F5" s="5" t="inlineStr">
        <is>
          <t>L/C NO.  &amp;  DATE</t>
        </is>
      </c>
      <c r="G5" s="6" t="n"/>
      <c r="H5" s="6" t="n"/>
      <c r="I5" s="7" t="n"/>
    </row>
    <row r="6" ht="17.15" customFormat="1" customHeight="1" s="1" thickBot="1">
      <c r="A6" s="11" t="inlineStr">
        <is>
          <t>Incheon, SOUTH KOREA. (22013)</t>
        </is>
      </c>
      <c r="B6" s="12" t="n"/>
      <c r="C6" s="12" t="n"/>
      <c r="D6" s="12" t="n"/>
      <c r="E6" s="12" t="n"/>
      <c r="F6" s="37" t="n"/>
      <c r="G6" s="15" t="n"/>
      <c r="H6" s="15" t="n"/>
      <c r="I6" s="16" t="n"/>
    </row>
    <row r="7" ht="17.15" customFormat="1" customHeight="1" s="1" thickTop="1">
      <c r="A7" s="11" t="inlineStr">
        <is>
          <t>TEL: +82 32 830 5520</t>
        </is>
      </c>
      <c r="B7" s="12" t="n"/>
      <c r="C7" s="12" t="n"/>
      <c r="D7" s="12" t="n"/>
      <c r="E7" s="12" t="n"/>
      <c r="F7" s="17" t="inlineStr">
        <is>
          <t>P/O NO.  &amp;  DATE</t>
        </is>
      </c>
      <c r="G7" s="12" t="n"/>
      <c r="H7" s="12" t="n"/>
      <c r="I7" s="13" t="n"/>
    </row>
    <row r="8" ht="17.15" customFormat="1" customHeight="1" s="1" thickBot="1">
      <c r="A8" s="14" t="inlineStr">
        <is>
          <t>FAX: +82 32 830 5509</t>
        </is>
      </c>
      <c r="B8" s="15" t="n"/>
      <c r="C8" s="15" t="n"/>
      <c r="D8" s="15" t="n"/>
      <c r="E8" s="16" t="n"/>
      <c r="F8" s="114" t="n"/>
      <c r="G8" s="216" t="n"/>
      <c r="H8" s="15" t="n"/>
      <c r="I8" s="16" t="n"/>
    </row>
    <row r="9" ht="16.5" customFormat="1" customHeight="1" s="1" thickTop="1">
      <c r="A9" s="5" t="inlineStr">
        <is>
          <t>CONSIGNEE</t>
        </is>
      </c>
      <c r="B9" s="6" t="n"/>
      <c r="C9" s="6" t="n"/>
      <c r="D9" s="6" t="n"/>
      <c r="E9" s="7" t="n"/>
      <c r="F9" s="18" t="inlineStr">
        <is>
          <t>BUYER(NOTIFY PARTY)</t>
        </is>
      </c>
      <c r="G9" s="12" t="n"/>
      <c r="H9" s="12" t="n"/>
      <c r="I9" s="13" t="n"/>
    </row>
    <row r="10" ht="16.5" customFormat="1" customHeight="1" s="1">
      <c r="A10" s="218" t="inlineStr">
        <is>
          <t>HL Mando ANAND INDIA PVT LTD.</t>
        </is>
      </c>
      <c r="E10" s="219" t="n"/>
      <c r="F10" s="12" t="n"/>
      <c r="G10" s="12" t="n"/>
      <c r="H10" s="12" t="n"/>
      <c r="I10" s="13" t="n"/>
    </row>
    <row r="11" ht="16.5" customFormat="1" customHeight="1" s="1">
      <c r="A11" s="220" t="inlineStr">
        <is>
          <t>Plot No : S1A &amp; S5 , Sipcot Industrial Park</t>
        </is>
      </c>
      <c r="E11" s="219" t="n"/>
      <c r="F11" s="12" t="n"/>
      <c r="G11" s="12" t="n"/>
      <c r="H11" s="12" t="n"/>
      <c r="I11" s="13" t="n"/>
    </row>
    <row r="12" ht="16.5" customFormat="1" customHeight="1" s="1">
      <c r="A12" s="220" t="inlineStr">
        <is>
          <t>Vengadu Village , Pillaipakkam Post</t>
        </is>
      </c>
      <c r="E12" s="219" t="n"/>
      <c r="F12" s="12" t="inlineStr">
        <is>
          <t>SAME AS CONSIGNEE</t>
        </is>
      </c>
      <c r="G12" s="12" t="n"/>
      <c r="H12" s="12" t="n"/>
      <c r="I12" s="13" t="n"/>
    </row>
    <row r="13" ht="16.5" customFormat="1" customHeight="1" s="1">
      <c r="A13" s="220" t="inlineStr">
        <is>
          <t xml:space="preserve">Sriperumbudur Taluk , </t>
        </is>
      </c>
      <c r="E13" s="219" t="n"/>
      <c r="F13" s="12" t="n"/>
      <c r="G13" s="12" t="n"/>
      <c r="H13" s="12" t="n"/>
      <c r="I13" s="13" t="n"/>
    </row>
    <row r="14" ht="16.5" customFormat="1" customHeight="1" s="1">
      <c r="A14" s="221" t="inlineStr">
        <is>
          <t>Kachipuram , Tamil Nadu- 602105</t>
        </is>
      </c>
      <c r="E14" s="219" t="n"/>
      <c r="F14" s="12" t="n"/>
      <c r="G14" s="12" t="n"/>
      <c r="H14" s="12" t="n"/>
      <c r="I14" s="13" t="n"/>
    </row>
    <row r="15" ht="16.5" customFormat="1" customHeight="1" s="1">
      <c r="A15" s="222" t="inlineStr">
        <is>
          <t>PIC: rameshkumar.p</t>
        </is>
      </c>
      <c r="E15" s="219" t="n"/>
      <c r="F15" s="12" t="n"/>
      <c r="G15" s="12" t="n"/>
      <c r="H15" s="12" t="n"/>
      <c r="I15" s="13" t="n"/>
    </row>
    <row r="16" ht="16.5" customFormat="1" customHeight="1" s="1" thickBot="1">
      <c r="A16" s="222" t="inlineStr">
        <is>
          <t>Mobile: +91-9962434766</t>
        </is>
      </c>
      <c r="E16" s="219" t="n"/>
      <c r="F16" s="12" t="n"/>
      <c r="G16" s="12" t="n"/>
      <c r="H16" s="12" t="n"/>
      <c r="I16" s="13" t="n"/>
    </row>
    <row r="17" ht="16.5" customFormat="1" customHeight="1" s="1" thickBot="1" thickTop="1">
      <c r="A17" s="43" t="inlineStr">
        <is>
          <t>e-mail : rameshkumar.p@hlcompany.com</t>
        </is>
      </c>
      <c r="B17" s="44" t="n"/>
      <c r="C17" s="44" t="n"/>
      <c r="D17" s="45" t="n"/>
      <c r="E17" s="46" t="n"/>
      <c r="F17" s="5" t="inlineStr">
        <is>
          <t>COUNTRY OF ORIGIN</t>
        </is>
      </c>
      <c r="G17" s="6" t="n"/>
      <c r="H17" s="19" t="inlineStr">
        <is>
          <t>KOREA</t>
        </is>
      </c>
      <c r="I17" s="7" t="n"/>
    </row>
    <row r="18" ht="16.5" customFormat="1" customHeight="1" s="1" thickBot="1" thickTop="1">
      <c r="A18" s="223" t="n"/>
      <c r="B18" s="224" t="n"/>
      <c r="C18" s="224" t="n"/>
      <c r="D18" s="224" t="n"/>
      <c r="E18" s="225" t="n"/>
      <c r="F18" s="226" t="inlineStr">
        <is>
          <t>VESSEL / FLIGHT : FLIGHT</t>
        </is>
      </c>
      <c r="G18" s="224" t="n"/>
      <c r="H18" s="224" t="n"/>
      <c r="I18" s="225" t="n"/>
    </row>
    <row r="19" ht="17.15" customFormat="1" customHeight="1" s="1" thickBot="1" thickTop="1">
      <c r="A19" s="20" t="inlineStr">
        <is>
          <t xml:space="preserve">FROM  </t>
        </is>
      </c>
      <c r="B19" s="132" t="inlineStr">
        <is>
          <t>Incheon, KOREA</t>
        </is>
      </c>
      <c r="C19" s="224" t="n"/>
      <c r="D19" s="224" t="n"/>
      <c r="E19" s="21" t="n"/>
      <c r="F19" s="17" t="inlineStr">
        <is>
          <t>TERMS OF DELIVERY  &amp;  PAYMENT</t>
        </is>
      </c>
      <c r="G19" s="12" t="n"/>
      <c r="H19" s="12" t="n"/>
      <c r="I19" s="13" t="n"/>
    </row>
    <row r="20" ht="17.15" customFormat="1" customHeight="1" s="1" thickBot="1" thickTop="1">
      <c r="A20" s="20" t="inlineStr">
        <is>
          <t>TO</t>
        </is>
      </c>
      <c r="B20" s="133" t="inlineStr">
        <is>
          <t>India</t>
        </is>
      </c>
      <c r="C20" s="224" t="n"/>
      <c r="D20" s="224" t="n"/>
      <c r="E20" s="21" t="n"/>
      <c r="F20" s="14" t="inlineStr">
        <is>
          <t>Ex Works</t>
        </is>
      </c>
      <c r="G20" s="15" t="n"/>
      <c r="H20" s="15" t="n"/>
      <c r="I20" s="16" t="n"/>
    </row>
    <row r="21" ht="15" customFormat="1" customHeight="1" s="1" thickTop="1">
      <c r="A21" s="227" t="inlineStr">
        <is>
          <t>Category</t>
        </is>
      </c>
      <c r="B21" s="228" t="n"/>
      <c r="C21" s="229" t="inlineStr">
        <is>
          <t xml:space="preserve">DESCRIPTION OF GOODS AND/OR SERVICE </t>
        </is>
      </c>
      <c r="D21" s="213" t="n"/>
      <c r="E21" s="213" t="n"/>
      <c r="F21" s="228" t="n"/>
      <c r="G21" s="230" t="inlineStr">
        <is>
          <t>Q'TY
(EA)</t>
        </is>
      </c>
      <c r="H21" s="231" t="inlineStr">
        <is>
          <t>U/PRICE
(USD)</t>
        </is>
      </c>
      <c r="I21" s="232" t="inlineStr">
        <is>
          <t>AMOUNT
(USD)</t>
        </is>
      </c>
    </row>
    <row r="22" ht="15" customFormat="1" customHeight="1" s="1" thickBot="1">
      <c r="A22" s="215" t="n"/>
      <c r="B22" s="68" t="n"/>
      <c r="C22" s="233" t="n"/>
      <c r="D22" s="216" t="n"/>
      <c r="E22" s="216" t="n"/>
      <c r="F22" s="68" t="n"/>
      <c r="G22" s="68" t="n"/>
      <c r="H22" s="234" t="n"/>
      <c r="I22" s="235" t="n"/>
    </row>
    <row r="23" ht="15" customFormat="1" customHeight="1" s="1" thickTop="1">
      <c r="A23" s="236" t="n"/>
      <c r="B23" s="228" t="n"/>
      <c r="C23" s="237" t="n"/>
      <c r="F23" s="69" t="n"/>
      <c r="G23" s="238" t="n"/>
      <c r="H23" s="239" t="n"/>
      <c r="I23" s="240" t="n"/>
    </row>
    <row r="24" ht="15" customFormat="1" customHeight="1" s="1">
      <c r="A24" s="241" t="inlineStr">
        <is>
          <t>Product</t>
        </is>
      </c>
      <c r="B24" s="69" t="n"/>
      <c r="C24" s="237" t="inlineStr">
        <is>
          <t>SM100 Pressure sensor (BG6900Z000)</t>
        </is>
      </c>
      <c r="F24" s="69" t="n"/>
      <c r="G24" s="238" t="n">
        <v>17578</v>
      </c>
      <c r="H24" s="239" t="n">
        <v>5.35</v>
      </c>
      <c r="I24" s="240">
        <f>G24*H24</f>
        <v/>
      </c>
    </row>
    <row r="25" ht="15" customFormat="1" customHeight="1" s="1">
      <c r="A25" s="241" t="inlineStr">
        <is>
          <t>Brand</t>
        </is>
      </c>
      <c r="B25" s="69" t="n"/>
      <c r="C25" s="237" t="inlineStr">
        <is>
          <t>SM110 Pressure sensor (BG69003800)</t>
        </is>
      </c>
      <c r="F25" s="69" t="n"/>
      <c r="G25" s="238" t="n">
        <v>9306</v>
      </c>
      <c r="H25" s="239" t="n">
        <v>4.25</v>
      </c>
      <c r="I25" s="240">
        <f>G25*H25</f>
        <v/>
      </c>
    </row>
    <row r="26" ht="15" customFormat="1" customHeight="1" s="1">
      <c r="A26" s="241" t="n"/>
      <c r="B26" s="69" t="n"/>
      <c r="C26" s="237" t="n"/>
      <c r="F26" s="69" t="n"/>
      <c r="G26" s="238" t="n"/>
      <c r="H26" s="242" t="n"/>
      <c r="I26" s="240" t="n"/>
    </row>
    <row r="27" ht="15" customFormat="1" customHeight="1" s="1">
      <c r="A27" s="241" t="n"/>
      <c r="B27" s="69" t="n"/>
      <c r="C27" s="237" t="inlineStr">
        <is>
          <t>THE SEN</t>
        </is>
      </c>
      <c r="F27" s="69" t="n"/>
      <c r="H27" s="242" t="n"/>
      <c r="I27" s="243" t="n"/>
    </row>
    <row r="28" ht="15" customFormat="1" customHeight="1" s="1">
      <c r="A28" s="76" t="n"/>
      <c r="B28" s="69" t="n"/>
      <c r="C28" s="244" t="n"/>
      <c r="F28" s="69" t="n"/>
      <c r="H28" s="242" t="n"/>
      <c r="I28" s="243" t="n"/>
    </row>
    <row r="29" ht="15" customFormat="1" customHeight="1" s="1">
      <c r="A29" s="76" t="n"/>
      <c r="B29" s="69" t="n"/>
      <c r="C29" s="244" t="inlineStr">
        <is>
          <t xml:space="preserve"> - PALLET SIZE : 1.2MX1.0MX12cm, 7KG </t>
        </is>
      </c>
      <c r="F29" s="69" t="n"/>
      <c r="H29" s="245" t="n"/>
      <c r="I29" s="246" t="n"/>
    </row>
    <row r="30" ht="15" customFormat="1" customHeight="1" s="1">
      <c r="A30" s="76" t="n"/>
      <c r="B30" s="69" t="n"/>
      <c r="C30" s="247">
        <f>" - BOX AMOUNT : "&amp;TEXT('Packing list'!F25,"0")&amp;"EA"</f>
        <v/>
      </c>
      <c r="F30" s="69" t="n"/>
      <c r="H30" s="242" t="n"/>
      <c r="I30" s="243" t="n"/>
    </row>
    <row r="31" ht="15" customFormat="1" customHeight="1" s="1">
      <c r="A31" s="76" t="n"/>
      <c r="B31" s="69" t="n"/>
      <c r="C31" s="247" t="inlineStr">
        <is>
          <t xml:space="preserve"> - HS CODE : 9026.20.1190</t>
        </is>
      </c>
      <c r="F31" s="69" t="n"/>
      <c r="H31" s="242" t="n"/>
      <c r="I31" s="243" t="n"/>
    </row>
    <row r="32" ht="15" customFormat="1" customHeight="1" s="2">
      <c r="A32" s="76" t="n"/>
      <c r="B32" s="69" t="n"/>
      <c r="C32" s="244">
        <f>" - Total gross weight : "&amp;TEXT('Packing list'!H27/1000,"0")&amp;"kg"</f>
        <v/>
      </c>
      <c r="F32" s="69" t="n"/>
      <c r="H32" s="242" t="n"/>
      <c r="I32" s="243" t="n"/>
    </row>
    <row r="33" ht="15" customFormat="1" customHeight="1" s="1">
      <c r="A33" s="76" t="n"/>
      <c r="B33" s="69" t="n"/>
      <c r="C33" s="67" t="n"/>
      <c r="F33" s="73" t="n"/>
      <c r="G33" s="75" t="n"/>
      <c r="H33" s="248" t="n"/>
      <c r="I33" s="246" t="n"/>
    </row>
    <row r="34" ht="15" customFormat="1" customHeight="1" s="1">
      <c r="A34" s="76" t="n"/>
      <c r="B34" s="69" t="n"/>
      <c r="C34" s="249" t="n"/>
      <c r="F34" s="69" t="n"/>
      <c r="G34" s="75" t="n"/>
      <c r="H34" s="250" t="n"/>
      <c r="I34" s="251" t="n"/>
    </row>
    <row r="35" ht="15" customFormat="1" customHeight="1" s="2">
      <c r="A35" s="76" t="n"/>
      <c r="B35" s="69" t="n"/>
      <c r="C35" s="252" t="n"/>
      <c r="F35" s="69" t="n"/>
      <c r="G35" s="27" t="n"/>
      <c r="H35" s="12" t="n"/>
      <c r="I35" s="28" t="n"/>
    </row>
    <row r="36" ht="15" customFormat="1" customHeight="1" s="2">
      <c r="A36" s="76" t="n"/>
      <c r="B36" s="69" t="n"/>
      <c r="C36" s="252" t="n"/>
      <c r="F36" s="69" t="n"/>
      <c r="G36" s="27" t="n"/>
      <c r="H36" s="12" t="n"/>
      <c r="I36" s="28" t="n"/>
    </row>
    <row r="37" ht="15" customFormat="1" customHeight="1" s="2" thickBot="1">
      <c r="A37" s="76" t="n"/>
      <c r="B37" s="68" t="n"/>
      <c r="C37" s="29" t="n"/>
      <c r="D37" s="29" t="n"/>
      <c r="E37" s="29" t="n"/>
      <c r="F37" s="72" t="n"/>
      <c r="G37" s="70" t="n"/>
      <c r="H37" s="12" t="n"/>
      <c r="I37" s="28" t="n"/>
    </row>
    <row r="38" ht="24" customFormat="1" customHeight="1" s="1" thickBot="1" thickTop="1">
      <c r="A38" s="253">
        <f>"TOTAL AMOUNT : PALLET("&amp;TEXT('Packing list'!F26,"0")&amp;"EA)  BOX ("&amp;TEXT('Packing list'!F25,"0")&amp;"EA)   USD $"&amp;TEXT(SUM(I24,I25),"#,##0.00")</f>
        <v/>
      </c>
      <c r="B38" s="224" t="n"/>
      <c r="C38" s="224" t="n"/>
      <c r="D38" s="224" t="n"/>
      <c r="E38" s="224" t="n"/>
      <c r="F38" s="224" t="n"/>
      <c r="G38" s="224" t="n"/>
      <c r="H38" s="224" t="n"/>
      <c r="I38" s="225" t="n"/>
    </row>
    <row r="39" ht="15" customFormat="1" customHeight="1" s="1" thickTop="1">
      <c r="A39" s="17" t="n"/>
      <c r="B39" s="30" t="n"/>
      <c r="C39" s="30" t="n"/>
      <c r="D39" s="31" t="n"/>
      <c r="E39" s="32" t="n"/>
      <c r="F39" s="32" t="n"/>
      <c r="G39" s="32" t="n"/>
      <c r="H39" s="32" t="n"/>
      <c r="I39" s="33" t="n"/>
    </row>
    <row r="40" ht="15" customFormat="1" customHeight="1" s="1">
      <c r="A40" s="155" t="n"/>
      <c r="B40" s="32" t="n"/>
      <c r="C40" s="32" t="n"/>
      <c r="D40" s="32" t="n"/>
      <c r="E40" s="32" t="n"/>
      <c r="F40" s="34" t="inlineStr">
        <is>
          <t>SIGNED BY</t>
        </is>
      </c>
      <c r="G40" s="32" t="n"/>
      <c r="H40" s="32" t="n"/>
      <c r="I40" s="33" t="n"/>
    </row>
    <row r="41" ht="15" customFormat="1" customHeight="1" s="1">
      <c r="A41" s="17" t="n"/>
      <c r="B41" s="30" t="n"/>
      <c r="C41" s="30" t="n"/>
      <c r="D41" s="35" t="n"/>
      <c r="E41" s="32" t="n"/>
      <c r="F41" s="35" t="n"/>
      <c r="G41" s="32" t="n"/>
      <c r="H41" s="32" t="n"/>
      <c r="I41" s="33" t="n"/>
    </row>
    <row r="42" ht="15" customFormat="1" customHeight="1" s="1">
      <c r="A42" s="17" t="n"/>
      <c r="B42" s="30" t="n"/>
      <c r="C42" s="30" t="n"/>
      <c r="D42" s="35" t="n"/>
      <c r="E42" s="30" t="n"/>
      <c r="F42" s="35" t="n"/>
      <c r="G42" s="32" t="n"/>
      <c r="H42" s="32" t="n"/>
      <c r="I42" s="33" t="n"/>
    </row>
    <row r="43" ht="15" customFormat="1" customHeight="1" s="1">
      <c r="A43" s="17" t="n"/>
      <c r="B43" s="30" t="n"/>
      <c r="C43" s="30" t="n"/>
      <c r="D43" s="35" t="n"/>
      <c r="E43" s="30" t="n"/>
      <c r="F43" s="32" t="n"/>
      <c r="G43" s="32" t="n"/>
      <c r="H43" s="32" t="n"/>
      <c r="I43" s="33" t="n"/>
    </row>
    <row r="44" ht="15" customFormat="1" customHeight="1" s="1">
      <c r="A44" s="17" t="n"/>
      <c r="B44" s="30" t="n"/>
      <c r="C44" s="30" t="n"/>
      <c r="D44" s="35" t="n"/>
      <c r="E44" s="30" t="n"/>
      <c r="F44" s="32" t="n"/>
      <c r="G44" s="32" t="n"/>
      <c r="H44" s="32" t="n"/>
      <c r="I44" s="33" t="n"/>
    </row>
    <row r="45" ht="15" customFormat="1" customHeight="1" s="1" thickBot="1">
      <c r="A45" s="17" t="n"/>
      <c r="B45" s="30" t="n"/>
      <c r="C45" s="30" t="n"/>
      <c r="D45" s="35" t="n"/>
      <c r="E45" s="30" t="n"/>
      <c r="F45" s="36" t="n"/>
      <c r="G45" s="36" t="n"/>
      <c r="H45" s="36" t="n"/>
      <c r="I45" s="33" t="n"/>
    </row>
    <row r="46" ht="15" customFormat="1" customHeight="1" s="1" thickBot="1">
      <c r="A46" s="37" t="n"/>
      <c r="B46" s="38" t="n"/>
      <c r="C46" s="38" t="n"/>
      <c r="D46" s="39" t="n"/>
      <c r="E46" s="38" t="n"/>
      <c r="F46" s="40" t="n"/>
      <c r="G46" s="40" t="n"/>
      <c r="H46" s="40" t="n"/>
      <c r="I46" s="41" t="n"/>
    </row>
    <row r="47" ht="15" customFormat="1" customHeight="1" s="1" thickTop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ht="14.5" customFormat="1" customHeight="1" s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ht="14.5" customFormat="1" customHeight="1" s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ht="14.5" customFormat="1" customHeight="1" s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14.5" customFormat="1" customHeight="1" s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 ht="14.5" customFormat="1" customHeight="1" s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14.5" customFormat="1" customHeight="1" s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 ht="14.5" customFormat="1" customHeight="1" s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 ht="14.5" customFormat="1" customHeight="1" s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 ht="14.5" customFormat="1" customHeight="1" s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 ht="14.5" customFormat="1" customHeight="1" s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</sheetData>
  <mergeCells count="37">
    <mergeCell ref="A24:B24"/>
    <mergeCell ref="C23:F23"/>
    <mergeCell ref="A15:E15"/>
    <mergeCell ref="A11:E11"/>
    <mergeCell ref="H21:H22"/>
    <mergeCell ref="C32:F32"/>
    <mergeCell ref="A21:B22"/>
    <mergeCell ref="C28:F28"/>
    <mergeCell ref="B19:D19"/>
    <mergeCell ref="A25:B25"/>
    <mergeCell ref="A16:E16"/>
    <mergeCell ref="C34:F34"/>
    <mergeCell ref="I21:I22"/>
    <mergeCell ref="A1:I2"/>
    <mergeCell ref="C30:F30"/>
    <mergeCell ref="C21:F22"/>
    <mergeCell ref="C24:F24"/>
    <mergeCell ref="A27:B27"/>
    <mergeCell ref="A18:E18"/>
    <mergeCell ref="A38:I38"/>
    <mergeCell ref="B20:D20"/>
    <mergeCell ref="F8:G8"/>
    <mergeCell ref="A26:B26"/>
    <mergeCell ref="A12:E12"/>
    <mergeCell ref="C35:F35"/>
    <mergeCell ref="C26:F26"/>
    <mergeCell ref="C29:F29"/>
    <mergeCell ref="C25:F25"/>
    <mergeCell ref="A14:E14"/>
    <mergeCell ref="A23:B23"/>
    <mergeCell ref="F18:I18"/>
    <mergeCell ref="C31:F31"/>
    <mergeCell ref="A10:E10"/>
    <mergeCell ref="G21:G22"/>
    <mergeCell ref="A13:E13"/>
    <mergeCell ref="C27:F27"/>
    <mergeCell ref="C36:F36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84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view="pageBreakPreview" zoomScaleNormal="85" zoomScaleSheetLayoutView="100" workbookViewId="0">
      <selection activeCell="A1" sqref="A1:I2"/>
    </sheetView>
  </sheetViews>
  <sheetFormatPr baseColWidth="8" defaultRowHeight="14"/>
  <cols>
    <col width="11.33203125" customWidth="1" min="1" max="1"/>
    <col width="4.6640625" customWidth="1" min="2" max="2"/>
    <col width="13.4140625" customWidth="1" min="4" max="4"/>
    <col width="6.1640625" customWidth="1" min="5" max="5"/>
    <col width="10.1640625" customWidth="1" min="6" max="6"/>
    <col width="8" customWidth="1" min="7" max="7"/>
    <col width="9.58203125" customWidth="1" min="8" max="8"/>
    <col width="12.6640625" customWidth="1" min="9" max="9"/>
  </cols>
  <sheetData>
    <row r="1" ht="20" customFormat="1" customHeight="1" s="1">
      <c r="A1" s="254" t="inlineStr">
        <is>
          <t>PACKING LIST</t>
        </is>
      </c>
      <c r="B1" s="255" t="n"/>
      <c r="C1" s="255" t="n"/>
      <c r="D1" s="255" t="n"/>
      <c r="E1" s="255" t="n"/>
      <c r="F1" s="255" t="n"/>
      <c r="G1" s="255" t="n"/>
      <c r="H1" s="255" t="n"/>
      <c r="I1" s="256" t="n"/>
    </row>
    <row r="2" ht="20" customFormat="1" customHeight="1" s="1" thickBot="1">
      <c r="A2" s="257" t="n"/>
      <c r="B2" s="216" t="n"/>
      <c r="C2" s="216" t="n"/>
      <c r="D2" s="216" t="n"/>
      <c r="E2" s="216" t="n"/>
      <c r="F2" s="216" t="n"/>
      <c r="G2" s="216" t="n"/>
      <c r="H2" s="216" t="n"/>
      <c r="I2" s="258" t="n"/>
    </row>
    <row r="3" ht="20" customFormat="1" customHeight="1" s="1" thickTop="1">
      <c r="A3" s="48">
        <f>INVOICE!A3</f>
        <v/>
      </c>
      <c r="B3" s="6" t="n"/>
      <c r="C3" s="6" t="n"/>
      <c r="D3" s="6" t="n"/>
      <c r="E3" s="7" t="n"/>
      <c r="F3" s="5">
        <f>INVOICE!F3</f>
        <v/>
      </c>
      <c r="G3" s="6" t="n"/>
      <c r="H3" s="6" t="n"/>
      <c r="I3" s="7" t="n"/>
    </row>
    <row r="4" ht="20" customFormat="1" customHeight="1" s="1" thickBot="1">
      <c r="A4" s="49">
        <f>INVOICE!A4</f>
        <v/>
      </c>
      <c r="B4" s="9" t="n"/>
      <c r="C4" s="9" t="n"/>
      <c r="D4" s="9" t="n"/>
      <c r="E4" s="10" t="n"/>
      <c r="F4" s="47">
        <f>INVOICE!F4</f>
        <v/>
      </c>
      <c r="G4" s="12" t="n"/>
      <c r="H4" s="12" t="n"/>
      <c r="I4" s="13" t="n"/>
    </row>
    <row r="5" ht="20" customFormat="1" customHeight="1" s="1" thickTop="1">
      <c r="A5" s="49">
        <f>INVOICE!A5</f>
        <v/>
      </c>
      <c r="B5" s="12" t="n"/>
      <c r="C5" s="12" t="n"/>
      <c r="D5" s="12" t="n"/>
      <c r="E5" s="13" t="n"/>
      <c r="F5" s="5" t="inlineStr">
        <is>
          <t>L/C NO.  &amp;  DATE</t>
        </is>
      </c>
      <c r="G5" s="6" t="n"/>
      <c r="H5" s="6" t="n"/>
      <c r="I5" s="50" t="n"/>
    </row>
    <row r="6" ht="20" customFormat="1" customHeight="1" s="1" thickBot="1">
      <c r="A6" s="49">
        <f>INVOICE!A6</f>
        <v/>
      </c>
      <c r="B6" s="12" t="n"/>
      <c r="C6" s="12" t="n"/>
      <c r="D6" s="12" t="n"/>
      <c r="E6" s="13" t="n"/>
      <c r="F6" s="14" t="n"/>
      <c r="G6" s="15" t="n"/>
      <c r="H6" s="15" t="n"/>
      <c r="I6" s="51" t="n"/>
    </row>
    <row r="7" ht="20" customFormat="1" customHeight="1" s="1" thickTop="1">
      <c r="A7" s="49">
        <f>INVOICE!A7</f>
        <v/>
      </c>
      <c r="B7" s="12" t="n"/>
      <c r="C7" s="12" t="n"/>
      <c r="D7" s="12" t="n"/>
      <c r="E7" s="13" t="n"/>
      <c r="F7" s="17" t="inlineStr">
        <is>
          <t>P/O NO.  &amp;  DATE</t>
        </is>
      </c>
      <c r="G7" s="12" t="n"/>
      <c r="H7" s="12" t="n"/>
      <c r="I7" s="52" t="n"/>
    </row>
    <row r="8" ht="20" customFormat="1" customHeight="1" s="1" thickBot="1">
      <c r="A8" s="53">
        <f>INVOICE!A8</f>
        <v/>
      </c>
      <c r="B8" s="15" t="n"/>
      <c r="C8" s="15" t="n"/>
      <c r="D8" s="15" t="n"/>
      <c r="E8" s="16" t="n"/>
      <c r="F8" s="178" t="n"/>
      <c r="G8" s="216" t="n"/>
      <c r="H8" s="15" t="n"/>
      <c r="I8" s="51" t="n"/>
    </row>
    <row r="9" ht="20" customFormat="1" customHeight="1" s="1" thickTop="1">
      <c r="A9" s="48" t="inlineStr">
        <is>
          <t>CONSIGNEE</t>
        </is>
      </c>
      <c r="B9" s="6" t="n"/>
      <c r="C9" s="6" t="n"/>
      <c r="D9" s="6" t="n"/>
      <c r="E9" s="7" t="n"/>
      <c r="F9" s="18" t="inlineStr">
        <is>
          <t>BUYER(NOTIFY PARTY)</t>
        </is>
      </c>
      <c r="G9" s="12" t="n"/>
      <c r="H9" s="12" t="n"/>
      <c r="I9" s="52" t="n"/>
    </row>
    <row r="10" ht="20" customFormat="1" customHeight="1" s="1">
      <c r="A10" s="259">
        <f>INVOICE!A10</f>
        <v/>
      </c>
      <c r="E10" s="219" t="n"/>
      <c r="F10" s="12" t="n"/>
      <c r="G10" s="12" t="n"/>
      <c r="H10" s="12" t="n"/>
      <c r="I10" s="52" t="n"/>
    </row>
    <row r="11" ht="20" customFormat="1" customHeight="1" s="1">
      <c r="A11" s="260">
        <f>INVOICE!A11</f>
        <v/>
      </c>
      <c r="E11" s="219" t="n"/>
      <c r="F11" s="12" t="n"/>
      <c r="G11" s="12" t="n"/>
      <c r="H11" s="12" t="n"/>
      <c r="I11" s="52" t="n"/>
    </row>
    <row r="12" ht="20" customFormat="1" customHeight="1" s="1">
      <c r="A12" s="260">
        <f>INVOICE!A12</f>
        <v/>
      </c>
      <c r="E12" s="219" t="n"/>
      <c r="F12" s="12" t="inlineStr">
        <is>
          <t>SAME AS CONSIGNEE</t>
        </is>
      </c>
      <c r="G12" s="12" t="n"/>
      <c r="H12" s="12" t="n"/>
      <c r="I12" s="52" t="n"/>
    </row>
    <row r="13" ht="20" customFormat="1" customHeight="1" s="1">
      <c r="A13" s="260">
        <f>INVOICE!A13</f>
        <v/>
      </c>
      <c r="E13" s="219" t="n"/>
      <c r="F13" s="12" t="n"/>
      <c r="G13" s="12" t="n"/>
      <c r="H13" s="12" t="n"/>
      <c r="I13" s="52" t="n"/>
    </row>
    <row r="14" ht="20" customFormat="1" customHeight="1" s="1">
      <c r="A14" s="260">
        <f>INVOICE!A14</f>
        <v/>
      </c>
      <c r="E14" s="219" t="n"/>
      <c r="F14" s="12" t="n"/>
      <c r="G14" s="12" t="n"/>
      <c r="H14" s="12" t="n"/>
      <c r="I14" s="52" t="n"/>
    </row>
    <row r="15" ht="20" customFormat="1" customHeight="1" s="1">
      <c r="A15" s="222" t="inlineStr">
        <is>
          <t>PIC: rameshkumar.p</t>
        </is>
      </c>
      <c r="E15" s="219" t="n"/>
      <c r="F15" s="12" t="n"/>
      <c r="G15" s="12" t="n"/>
      <c r="H15" s="12" t="n"/>
      <c r="I15" s="52" t="n"/>
    </row>
    <row r="16" ht="20" customFormat="1" customHeight="1" s="1" thickBot="1">
      <c r="A16" s="222" t="inlineStr">
        <is>
          <t>Mobile: +91-9962434766</t>
        </is>
      </c>
      <c r="E16" s="219" t="n"/>
      <c r="F16" s="12" t="n"/>
      <c r="G16" s="12" t="n"/>
      <c r="H16" s="12" t="n"/>
      <c r="I16" s="52" t="n"/>
    </row>
    <row r="17" ht="20" customFormat="1" customHeight="1" s="1" thickBot="1" thickTop="1">
      <c r="A17" s="43" t="inlineStr">
        <is>
          <t>e-mail : rameshkumar.p@hlcompany.com</t>
        </is>
      </c>
      <c r="B17" s="44" t="n"/>
      <c r="C17" s="44" t="n"/>
      <c r="D17" s="45" t="n"/>
      <c r="E17" s="46" t="n"/>
      <c r="F17" s="5" t="inlineStr">
        <is>
          <t>COUNTRY OF ORIGIN</t>
        </is>
      </c>
      <c r="G17" s="6" t="n"/>
      <c r="H17" s="19" t="inlineStr">
        <is>
          <t>KOREA</t>
        </is>
      </c>
      <c r="I17" s="50" t="n"/>
    </row>
    <row r="18" ht="20" customFormat="1" customHeight="1" s="1" thickBot="1" thickTop="1">
      <c r="A18" s="223">
        <f>INVOICE!A18</f>
        <v/>
      </c>
      <c r="B18" s="224" t="n"/>
      <c r="C18" s="224" t="n"/>
      <c r="D18" s="224" t="n"/>
      <c r="E18" s="225" t="n"/>
      <c r="F18" s="261" t="inlineStr">
        <is>
          <t>VESSEL / FLIGHT : FLIGHT</t>
        </is>
      </c>
      <c r="G18" s="224" t="n"/>
      <c r="H18" s="224" t="n"/>
      <c r="I18" s="262" t="n"/>
    </row>
    <row r="19" ht="20" customFormat="1" customHeight="1" s="1" thickBot="1" thickTop="1">
      <c r="A19" s="54" t="inlineStr">
        <is>
          <t xml:space="preserve">FROM  </t>
        </is>
      </c>
      <c r="B19" s="132" t="inlineStr">
        <is>
          <t>Incheon, KOREA</t>
        </is>
      </c>
      <c r="C19" s="224" t="n"/>
      <c r="D19" s="224" t="n"/>
      <c r="E19" s="21" t="n"/>
      <c r="F19" s="20" t="inlineStr">
        <is>
          <t>TO</t>
        </is>
      </c>
      <c r="G19" s="187" t="inlineStr">
        <is>
          <t>India</t>
        </is>
      </c>
      <c r="H19" s="224" t="n"/>
      <c r="I19" s="262" t="n"/>
    </row>
    <row r="20" ht="20" customFormat="1" customHeight="1" s="1" thickTop="1">
      <c r="A20" s="263" t="inlineStr">
        <is>
          <t>SHIPPING 
MARKS</t>
        </is>
      </c>
      <c r="B20" s="264" t="inlineStr">
        <is>
          <t>NO</t>
        </is>
      </c>
      <c r="C20" s="229" t="inlineStr">
        <is>
          <t>Description of Goods</t>
        </is>
      </c>
      <c r="D20" s="228" t="n"/>
      <c r="E20" s="265" t="inlineStr">
        <is>
          <t>Unit</t>
        </is>
      </c>
      <c r="F20" s="229" t="inlineStr">
        <is>
          <t>Quantity</t>
        </is>
      </c>
      <c r="G20" s="231" t="inlineStr">
        <is>
          <t>Net
Weight
(g)</t>
        </is>
      </c>
      <c r="H20" s="231" t="inlineStr">
        <is>
          <t>Gross
Weight
(g)</t>
        </is>
      </c>
      <c r="I20" s="266" t="inlineStr">
        <is>
          <t>Remark</t>
        </is>
      </c>
    </row>
    <row r="21" ht="20" customFormat="1" customHeight="1" s="1" thickBot="1">
      <c r="A21" s="267" t="n"/>
      <c r="B21" s="234" t="n"/>
      <c r="C21" s="233" t="n"/>
      <c r="D21" s="68" t="n"/>
      <c r="E21" s="68" t="n"/>
      <c r="F21" s="234" t="n"/>
      <c r="G21" s="234" t="n"/>
      <c r="H21" s="234" t="n"/>
      <c r="I21" s="268" t="n"/>
    </row>
    <row r="22" ht="20" customFormat="1" customHeight="1" s="1" thickTop="1">
      <c r="A22" s="55" t="n"/>
      <c r="B22" s="81" t="n">
        <v>1</v>
      </c>
      <c r="C22" s="81" t="inlineStr">
        <is>
          <t>SM100 Pressure Sensor</t>
        </is>
      </c>
      <c r="D22" s="269" t="n"/>
      <c r="E22" s="81" t="inlineStr">
        <is>
          <t>ea</t>
        </is>
      </c>
      <c r="F22" s="270">
        <f>INVOICE!G24</f>
        <v/>
      </c>
      <c r="G22" s="83" t="n">
        <v>5.2</v>
      </c>
      <c r="H22" s="271">
        <f>F22*G22</f>
        <v/>
      </c>
      <c r="I22" s="272" t="n"/>
    </row>
    <row r="23" ht="20" customFormat="1" customHeight="1" s="1">
      <c r="A23" s="55" t="n"/>
      <c r="B23" s="78" t="n">
        <v>2</v>
      </c>
      <c r="C23" s="78" t="inlineStr">
        <is>
          <t>SM110 Pressure Sensor</t>
        </is>
      </c>
      <c r="D23" s="273" t="n"/>
      <c r="E23" s="78" t="inlineStr">
        <is>
          <t>ea</t>
        </is>
      </c>
      <c r="F23" s="274">
        <f>INVOICE!G25</f>
        <v/>
      </c>
      <c r="G23" s="100" t="n">
        <v>5.2</v>
      </c>
      <c r="H23" s="275">
        <f>F23*G23</f>
        <v/>
      </c>
      <c r="I23" s="276" t="n"/>
    </row>
    <row r="24" ht="20" customFormat="1" customHeight="1" s="1">
      <c r="A24" s="55" t="n"/>
      <c r="B24" s="78" t="n">
        <v>2</v>
      </c>
      <c r="C24" s="277" t="inlineStr">
        <is>
          <t>PE Tray</t>
        </is>
      </c>
      <c r="D24" s="273" t="n"/>
      <c r="E24" s="78" t="inlineStr">
        <is>
          <t>ea</t>
        </is>
      </c>
      <c r="F24" s="274">
        <f>F25*12</f>
        <v/>
      </c>
      <c r="G24" s="100" t="n">
        <v>190</v>
      </c>
      <c r="H24" s="278">
        <f>G24*F24</f>
        <v/>
      </c>
      <c r="I24" s="279" t="n"/>
    </row>
    <row r="25" ht="20" customFormat="1" customHeight="1" s="1">
      <c r="A25" s="57" t="n"/>
      <c r="B25" s="78" t="n">
        <v>3</v>
      </c>
      <c r="C25" s="197" t="inlineStr">
        <is>
          <t>Packing box</t>
        </is>
      </c>
      <c r="D25" s="280" t="n"/>
      <c r="E25" s="281" t="inlineStr">
        <is>
          <t>ea</t>
        </is>
      </c>
      <c r="F25" s="274">
        <f>ROUNDUP((F22+F23)/1034,0)</f>
        <v/>
      </c>
      <c r="G25" s="100" t="n">
        <v>850</v>
      </c>
      <c r="H25" s="278">
        <f>G25*F25</f>
        <v/>
      </c>
      <c r="I25" s="282" t="n"/>
    </row>
    <row r="26" ht="20" customFormat="1" customHeight="1" s="1">
      <c r="A26" s="57" t="n"/>
      <c r="B26" s="97" t="n">
        <v>4</v>
      </c>
      <c r="C26" s="283" t="inlineStr">
        <is>
          <t>Pallet</t>
        </is>
      </c>
      <c r="D26" s="284" t="n"/>
      <c r="E26" s="97" t="inlineStr">
        <is>
          <t>ea</t>
        </is>
      </c>
      <c r="F26" s="285">
        <f>ROUNDUP(F25/27,0)</f>
        <v/>
      </c>
      <c r="G26" s="104" t="n">
        <v>7200</v>
      </c>
      <c r="H26" s="286">
        <f>G26*F26</f>
        <v/>
      </c>
      <c r="I26" s="287" t="n"/>
    </row>
    <row r="27" ht="20" customFormat="1" customHeight="1" s="1" thickBot="1">
      <c r="A27" s="57" t="n"/>
      <c r="B27" s="288" t="inlineStr">
        <is>
          <t>Total gross weight</t>
        </is>
      </c>
      <c r="C27" s="216" t="n"/>
      <c r="D27" s="216" t="n"/>
      <c r="E27" s="216" t="n"/>
      <c r="F27" s="216" t="n"/>
      <c r="G27" s="68" t="n"/>
      <c r="H27" s="289">
        <f>SUM(H22:H26)</f>
        <v/>
      </c>
      <c r="I27" s="290" t="n"/>
    </row>
    <row r="28" ht="44" customFormat="1" customHeight="1" s="1" thickTop="1">
      <c r="A28" s="291" t="inlineStr">
        <is>
          <t>Packing</t>
        </is>
      </c>
      <c r="B28" s="89" t="inlineStr">
        <is>
          <t>No</t>
        </is>
      </c>
      <c r="C28" s="292" t="inlineStr">
        <is>
          <t>Packing type</t>
        </is>
      </c>
      <c r="D28" s="228" t="n"/>
      <c r="E28" s="293" t="inlineStr">
        <is>
          <t>Dimension
L X W X H (cm)</t>
        </is>
      </c>
      <c r="F28" s="228" t="n"/>
      <c r="G28" s="207" t="inlineStr">
        <is>
          <t>Quantity
(ea)</t>
        </is>
      </c>
      <c r="H28" s="294" t="inlineStr">
        <is>
          <t>Gross
Weight
(kg)</t>
        </is>
      </c>
      <c r="I28" s="295" t="inlineStr">
        <is>
          <t>Remark</t>
        </is>
      </c>
    </row>
    <row r="29" ht="20" customFormat="1" customHeight="1" s="1">
      <c r="A29" s="296" t="n"/>
      <c r="B29" s="93" t="n">
        <v>1</v>
      </c>
      <c r="C29" s="297" t="inlineStr">
        <is>
          <t>Pallet</t>
        </is>
      </c>
      <c r="D29" s="298" t="n"/>
      <c r="E29" s="299" t="inlineStr">
        <is>
          <t>120 x 100 x 12</t>
        </is>
      </c>
      <c r="F29" s="284" t="n"/>
      <c r="G29" s="300">
        <f>F26</f>
        <v/>
      </c>
      <c r="H29" s="301">
        <f>H27/1000</f>
        <v/>
      </c>
      <c r="I29" s="302" t="n"/>
    </row>
    <row r="30" ht="15" customFormat="1" customHeight="1" s="1">
      <c r="A30" s="58" t="n"/>
      <c r="B30" s="30" t="n"/>
      <c r="C30" s="30" t="n"/>
      <c r="D30" s="35" t="n"/>
      <c r="E30" s="32" t="n"/>
      <c r="F30" s="35" t="n"/>
      <c r="G30" s="32" t="n"/>
      <c r="H30" s="32" t="n"/>
      <c r="I30" s="59" t="n"/>
    </row>
    <row r="31" ht="15" customFormat="1" customHeight="1" s="1">
      <c r="A31" s="58" t="n"/>
      <c r="B31" s="30" t="n"/>
      <c r="C31" s="30" t="n"/>
      <c r="D31" s="35" t="n"/>
      <c r="E31" s="30" t="n"/>
      <c r="F31" s="35" t="n"/>
      <c r="G31" s="32" t="n"/>
      <c r="H31" s="32" t="n"/>
      <c r="I31" s="59" t="n"/>
    </row>
    <row r="32" ht="15" customFormat="1" customHeight="1" s="1">
      <c r="A32" s="58" t="n"/>
      <c r="B32" s="30" t="n"/>
      <c r="C32" s="30" t="n"/>
      <c r="D32" s="35" t="n"/>
      <c r="E32" s="30" t="n"/>
      <c r="F32" s="32" t="n"/>
      <c r="G32" s="32" t="n"/>
      <c r="H32" s="32" t="n"/>
      <c r="I32" s="59" t="n"/>
    </row>
    <row r="33" ht="15" customFormat="1" customHeight="1" s="1">
      <c r="A33" s="58" t="n"/>
      <c r="B33" s="30" t="n"/>
      <c r="C33" s="30" t="n"/>
      <c r="D33" s="35" t="n"/>
      <c r="E33" s="30" t="n"/>
      <c r="F33" s="32" t="n"/>
      <c r="G33" s="32" t="n"/>
      <c r="H33" s="32" t="n"/>
      <c r="I33" s="59" t="n"/>
    </row>
    <row r="34" ht="15" customFormat="1" customHeight="1" s="1" thickBot="1">
      <c r="A34" s="58" t="n"/>
      <c r="B34" s="30" t="n"/>
      <c r="C34" s="30" t="n"/>
      <c r="D34" s="35" t="n"/>
      <c r="E34" s="30" t="n"/>
      <c r="F34" s="36" t="n"/>
      <c r="G34" s="36" t="n"/>
      <c r="H34" s="36" t="n"/>
      <c r="I34" s="59" t="n"/>
    </row>
    <row r="35" ht="15" customFormat="1" customHeight="1" s="1" thickBot="1">
      <c r="A35" s="60" t="n"/>
      <c r="B35" s="61" t="n"/>
      <c r="C35" s="61" t="n"/>
      <c r="D35" s="62" t="n"/>
      <c r="E35" s="61" t="n"/>
      <c r="F35" s="36" t="n"/>
      <c r="G35" s="36" t="n"/>
      <c r="H35" s="36" t="n"/>
      <c r="I35" s="63" t="n"/>
    </row>
    <row r="36" ht="14.5" customFormat="1" customHeight="1" s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14.5" customFormat="1" customHeight="1" s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 ht="14.5" customFormat="1" customHeight="1" s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14.5" customFormat="1" customHeight="1" s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 ht="14.5" customFormat="1" customHeight="1" s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14.5" customFormat="1" customHeight="1" s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 ht="14.5" customFormat="1" customHeight="1" s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 ht="14.5" customFormat="1" customHeight="1" s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14.5" customFormat="1" customHeight="1" s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 ht="14.5" customFormat="1" customHeight="1" s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14.5" customFormat="1" customHeight="1" s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 ht="1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 ht="1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1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 ht="1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1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 ht="1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1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 ht="1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1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1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</sheetData>
  <mergeCells count="32">
    <mergeCell ref="C24:D24"/>
    <mergeCell ref="G19:I19"/>
    <mergeCell ref="A15:E15"/>
    <mergeCell ref="E20:E21"/>
    <mergeCell ref="A11:E11"/>
    <mergeCell ref="F20:F21"/>
    <mergeCell ref="C26:D26"/>
    <mergeCell ref="B19:D19"/>
    <mergeCell ref="C29:D29"/>
    <mergeCell ref="E29:F29"/>
    <mergeCell ref="A16:E16"/>
    <mergeCell ref="C25:D25"/>
    <mergeCell ref="E28:F28"/>
    <mergeCell ref="A1:I2"/>
    <mergeCell ref="C22:D22"/>
    <mergeCell ref="G20:G21"/>
    <mergeCell ref="A18:E18"/>
    <mergeCell ref="F8:G8"/>
    <mergeCell ref="A12:E12"/>
    <mergeCell ref="I20:I21"/>
    <mergeCell ref="A20:A21"/>
    <mergeCell ref="B20:B21"/>
    <mergeCell ref="A14:E14"/>
    <mergeCell ref="C23:D23"/>
    <mergeCell ref="F18:I18"/>
    <mergeCell ref="C20:D21"/>
    <mergeCell ref="A28:A29"/>
    <mergeCell ref="A10:E10"/>
    <mergeCell ref="B27:G27"/>
    <mergeCell ref="H20:H21"/>
    <mergeCell ref="C28:D28"/>
    <mergeCell ref="A13:E13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8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이진호</dc:creator>
  <dcterms:created xmlns:dcterms="http://purl.org/dc/terms/" xmlns:xsi="http://www.w3.org/2001/XMLSchema-instance" xsi:type="dcterms:W3CDTF">2013-10-23T08:04:15Z</dcterms:created>
  <dcterms:modified xmlns:dcterms="http://purl.org/dc/terms/" xmlns:xsi="http://www.w3.org/2001/XMLSchema-instance" xsi:type="dcterms:W3CDTF">2026-05-20T03:45:12Z</dcterms:modified>
  <cp:lastModifiedBy>김서정</cp:lastModifiedBy>
  <cp:lastPrinted>2026-04-07T00:17:14Z</cp:lastPrinted>
</cp:coreProperties>
</file>