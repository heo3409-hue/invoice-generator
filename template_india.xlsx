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210.223.182.24\센서영업팀\센서영업\00. 영업관리\만도_인도\수출\2026\5월\"/>
    </mc:Choice>
  </mc:AlternateContent>
  <xr:revisionPtr revIDLastSave="0" documentId="13_ncr:1_{74010889-7AA9-4089-BCF4-ABA4B1283C18}" xr6:coauthVersionLast="47" xr6:coauthVersionMax="47" xr10:uidLastSave="{00000000-0000-0000-0000-000000000000}"/>
  <bookViews>
    <workbookView xWindow="38295" yWindow="0" windowWidth="14610" windowHeight="17385" xr2:uid="{00000000-000D-0000-FFFF-FFFF00000000}"/>
  </bookViews>
  <sheets>
    <sheet name="INVOICE" sheetId="1" r:id="rId1"/>
    <sheet name="Packing list" sheetId="2" r:id="rId2"/>
  </sheets>
  <definedNames>
    <definedName name="_xlnm.Print_Area" localSheetId="0">INVOICE!$A$1:$I$46</definedName>
    <definedName name="_xlnm.Print_Area" localSheetId="1">'Packing list'!$A$1:$I$35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H23" i="2" s="1"/>
  <c r="G29" i="2"/>
  <c r="I25" i="1" l="1"/>
  <c r="H26" i="2" l="1"/>
  <c r="F3" i="2"/>
  <c r="I24" i="1" l="1"/>
  <c r="F22" i="2" l="1"/>
  <c r="F25" i="2" s="1"/>
  <c r="F24" i="2" s="1"/>
  <c r="F4" i="2"/>
  <c r="H24" i="2" l="1"/>
  <c r="H22" i="2"/>
  <c r="H25" i="2" l="1"/>
  <c r="H27" i="2" s="1"/>
  <c r="H29" i="2" s="1"/>
  <c r="A10" i="2"/>
  <c r="A18" i="2" l="1"/>
  <c r="A11" i="2" l="1"/>
  <c r="A12" i="2"/>
  <c r="A13" i="2"/>
  <c r="A14" i="2"/>
  <c r="A4" i="2"/>
  <c r="A5" i="2"/>
  <c r="A6" i="2"/>
  <c r="A7" i="2"/>
  <c r="A8" i="2"/>
  <c r="A3" i="2"/>
</calcChain>
</file>

<file path=xl/sharedStrings.xml><?xml version="1.0" encoding="utf-8"?>
<sst xmlns="http://schemas.openxmlformats.org/spreadsheetml/2006/main" count="91" uniqueCount="72">
  <si>
    <t>SELLER/MANUFACTURER</t>
    <phoneticPr fontId="2" type="noConversion"/>
  </si>
  <si>
    <t>CONSIGNEE</t>
    <phoneticPr fontId="2" type="noConversion"/>
  </si>
  <si>
    <t>BUYER(NOTIFY PARTY)</t>
    <phoneticPr fontId="2" type="noConversion"/>
  </si>
  <si>
    <t>SAME AS CONSIGNEE</t>
    <phoneticPr fontId="2" type="noConversion"/>
  </si>
  <si>
    <t xml:space="preserve">FROM  </t>
    <phoneticPr fontId="2" type="noConversion"/>
  </si>
  <si>
    <t>TERMS OF DELIVERY  &amp;  PAYMENT</t>
    <phoneticPr fontId="2" type="noConversion"/>
  </si>
  <si>
    <t>TO</t>
    <phoneticPr fontId="2" type="noConversion"/>
  </si>
  <si>
    <t>SHIPPING 
MARKS</t>
    <phoneticPr fontId="2" type="noConversion"/>
  </si>
  <si>
    <t>NO</t>
    <phoneticPr fontId="2" type="noConversion"/>
  </si>
  <si>
    <t xml:space="preserve">DESCRIPTION OF GOODS AND/OR SERVICE </t>
    <phoneticPr fontId="2" type="noConversion"/>
  </si>
  <si>
    <t>Q'TY
(EA)</t>
    <phoneticPr fontId="2" type="noConversion"/>
  </si>
  <si>
    <t>SIGNED BY</t>
    <phoneticPr fontId="2" type="noConversion"/>
  </si>
  <si>
    <t>VESSEL / FLIGHT : FLIGHT</t>
    <phoneticPr fontId="2" type="noConversion"/>
  </si>
  <si>
    <t>Incheon, KOREA</t>
    <phoneticPr fontId="2" type="noConversion"/>
  </si>
  <si>
    <t>COUNTRY OF ORIGIN</t>
    <phoneticPr fontId="2" type="noConversion"/>
  </si>
  <si>
    <t>U/PRICE
(USD)</t>
    <phoneticPr fontId="2" type="noConversion"/>
  </si>
  <si>
    <t>AMOUNT
(USD)</t>
    <phoneticPr fontId="2" type="noConversion"/>
  </si>
  <si>
    <t>DAEYANG ELECTRIC CO LTD</t>
    <phoneticPr fontId="2" type="noConversion"/>
  </si>
  <si>
    <t>Vengadu Village , Pillaipakkam Post</t>
    <phoneticPr fontId="2" type="noConversion"/>
  </si>
  <si>
    <t xml:space="preserve">Sriperumbudur Taluk , </t>
    <phoneticPr fontId="2" type="noConversion"/>
  </si>
  <si>
    <t>Kachipuram , Tamil Nadu- 602105</t>
    <phoneticPr fontId="2" type="noConversion"/>
  </si>
  <si>
    <t xml:space="preserve">16 Venture-ro 100beon-gil, Yeonsu-gu, </t>
    <phoneticPr fontId="2" type="noConversion"/>
  </si>
  <si>
    <t>TEL: +82 32 830 5520</t>
    <phoneticPr fontId="2" type="noConversion"/>
  </si>
  <si>
    <t>FAX: +82 32 830 5509</t>
    <phoneticPr fontId="2" type="noConversion"/>
  </si>
  <si>
    <t>Plot No : S1A &amp; S5 , Sipcot Industrial Park</t>
    <phoneticPr fontId="2" type="noConversion"/>
  </si>
  <si>
    <t>KOREA</t>
    <phoneticPr fontId="2" type="noConversion"/>
  </si>
  <si>
    <t>Incheon, SOUTH KOREA. (22013)</t>
    <phoneticPr fontId="2" type="noConversion"/>
  </si>
  <si>
    <t>India</t>
    <phoneticPr fontId="2" type="noConversion"/>
  </si>
  <si>
    <t>Ex Works</t>
    <phoneticPr fontId="2" type="noConversion"/>
  </si>
  <si>
    <t>COMMERCIAL INVOICE</t>
    <phoneticPr fontId="2" type="noConversion"/>
  </si>
  <si>
    <t>L/C NO.  &amp;  DATE</t>
    <phoneticPr fontId="2" type="noConversion"/>
  </si>
  <si>
    <t>P/O NO.  &amp;  DATE</t>
    <phoneticPr fontId="2" type="noConversion"/>
  </si>
  <si>
    <t>PACKING LIST</t>
    <phoneticPr fontId="2" type="noConversion"/>
  </si>
  <si>
    <t>Description of Goods</t>
    <phoneticPr fontId="2" type="noConversion"/>
  </si>
  <si>
    <t>Unit</t>
    <phoneticPr fontId="2" type="noConversion"/>
  </si>
  <si>
    <t>Quantity</t>
    <phoneticPr fontId="2" type="noConversion"/>
  </si>
  <si>
    <t>Net
Weight
(g)</t>
    <phoneticPr fontId="2" type="noConversion"/>
  </si>
  <si>
    <t>Gross
Weight
(g)</t>
    <phoneticPr fontId="2" type="noConversion"/>
  </si>
  <si>
    <t>Remark</t>
    <phoneticPr fontId="2" type="noConversion"/>
  </si>
  <si>
    <t>ea</t>
    <phoneticPr fontId="2" type="noConversion"/>
  </si>
  <si>
    <t>PE Tray</t>
    <phoneticPr fontId="2" type="noConversion"/>
  </si>
  <si>
    <t>Total gross weight</t>
    <phoneticPr fontId="2" type="noConversion"/>
  </si>
  <si>
    <t>Mobile: +91-9962434766</t>
    <phoneticPr fontId="2" type="noConversion"/>
  </si>
  <si>
    <t xml:space="preserve"> - HS CODE : 9026.20.1190</t>
    <phoneticPr fontId="2" type="noConversion"/>
  </si>
  <si>
    <t xml:space="preserve"> - PALLET SIZE : 1.2MX1.0MX12cm, 7KG </t>
    <phoneticPr fontId="2" type="noConversion"/>
  </si>
  <si>
    <t>Category</t>
    <phoneticPr fontId="2" type="noConversion"/>
  </si>
  <si>
    <t>Product</t>
    <phoneticPr fontId="2" type="noConversion"/>
  </si>
  <si>
    <t>Brand</t>
    <phoneticPr fontId="2" type="noConversion"/>
  </si>
  <si>
    <t>ea</t>
    <phoneticPr fontId="2" type="noConversion"/>
  </si>
  <si>
    <t>HL Mando ANAND INDIA PVT LTD.</t>
    <phoneticPr fontId="2" type="noConversion"/>
  </si>
  <si>
    <t>SM100 Pressure sensor (BG6900Z000)</t>
    <phoneticPr fontId="2" type="noConversion"/>
  </si>
  <si>
    <t>Packing box</t>
    <phoneticPr fontId="2" type="noConversion"/>
  </si>
  <si>
    <t>ea</t>
    <phoneticPr fontId="2" type="noConversion"/>
  </si>
  <si>
    <t>SM100 Pressure Sensor</t>
    <phoneticPr fontId="2" type="noConversion"/>
  </si>
  <si>
    <t>PIC: rameshkumar.p</t>
    <phoneticPr fontId="2" type="noConversion"/>
  </si>
  <si>
    <t>e-mail : rameshkumar.p@hlcompany.com</t>
    <phoneticPr fontId="2" type="noConversion"/>
  </si>
  <si>
    <t>THE SEN</t>
    <phoneticPr fontId="2" type="noConversion"/>
  </si>
  <si>
    <t>Pallet</t>
    <phoneticPr fontId="2" type="noConversion"/>
  </si>
  <si>
    <t>SM110 Pressure sensor (BG69003800)</t>
  </si>
  <si>
    <t>Packing</t>
    <phoneticPr fontId="2" type="noConversion"/>
  </si>
  <si>
    <t>No</t>
    <phoneticPr fontId="2" type="noConversion"/>
  </si>
  <si>
    <t>Packing type</t>
    <phoneticPr fontId="2" type="noConversion"/>
  </si>
  <si>
    <t>Dimension
L X W X H (cm)</t>
    <phoneticPr fontId="2" type="noConversion"/>
  </si>
  <si>
    <t>Quantity
(ea)</t>
    <phoneticPr fontId="2" type="noConversion"/>
  </si>
  <si>
    <t>Gross
Weight
(kg)</t>
    <phoneticPr fontId="2" type="noConversion"/>
  </si>
  <si>
    <t>120 x 100 x 12</t>
    <phoneticPr fontId="2" type="noConversion"/>
  </si>
  <si>
    <t>SM110 Pressure Sensor</t>
    <phoneticPr fontId="2" type="noConversion"/>
  </si>
  <si>
    <t xml:space="preserve"> - Total gross weight : 228kg</t>
  </si>
  <si>
    <t xml:space="preserve"> - BOX AMOUNT : 26EA</t>
  </si>
  <si>
    <t>INVOICE NO : TS-260601-01</t>
  </si>
  <si>
    <t>INVOICE DATE : 1st.Jun.2026</t>
  </si>
  <si>
    <t>TOTAL AMOUNT : PALLET(1EA)  BOX (26EA)   USD $133,592.80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</si>
</sst>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64" formatCode="0.00_ "/>
    <numFmt numFmtId="165" formatCode="_-* #,##0.00_-;\-* #,##0.00_-;_-* &quot;-&quot;_-;_-@_-"/>
    <numFmt numFmtId="166" formatCode="#,##0_ "/>
    <numFmt numFmtId="167" formatCode="#,##0_);[Red]\(#,##0\)"/>
    <numFmt numFmtId="168" formatCode="\$#,##0.00"/>
  </numFmts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Garamond"/>
      <family val="1"/>
    </font>
    <font>
      <sz val="11"/>
      <name val="Garamond"/>
      <family val="1"/>
    </font>
    <font>
      <b/>
      <sz val="20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2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</cellStyleXfs>
  <cellXfs count="21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165" fontId="7" fillId="0" borderId="20" xfId="1" applyNumberFormat="1" applyFont="1" applyFill="1" applyBorder="1" applyAlignment="1">
      <alignment vertical="center"/>
    </xf>
    <xf numFmtId="165" fontId="7" fillId="0" borderId="23" xfId="1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7" fillId="0" borderId="23" xfId="0" applyNumberFormat="1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shrinkToFit="1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5" fontId="7" fillId="0" borderId="23" xfId="1" quotePrefix="1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8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41" fontId="7" fillId="0" borderId="41" xfId="1" applyFont="1" applyFill="1" applyBorder="1" applyAlignment="1">
      <alignment vertical="center"/>
    </xf>
    <xf numFmtId="0" fontId="7" fillId="0" borderId="31" xfId="0" applyFont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168" fontId="6" fillId="0" borderId="23" xfId="1" applyNumberFormat="1" applyFont="1" applyFill="1" applyBorder="1" applyAlignment="1">
      <alignment horizontal="center" vertical="center"/>
    </xf>
    <xf numFmtId="42" fontId="7" fillId="0" borderId="20" xfId="2" quotePrefix="1" applyFont="1" applyFill="1" applyBorder="1" applyAlignment="1">
      <alignment horizontal="right" vertical="center"/>
    </xf>
    <xf numFmtId="165" fontId="7" fillId="0" borderId="20" xfId="1" applyNumberFormat="1" applyFont="1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8" xfId="0" applyBorder="1"/>
    <xf numFmtId="0" fontId="0" fillId="0" borderId="22" xfId="0" applyBorder="1"/>
    <xf numFmtId="0" fontId="7" fillId="0" borderId="22" xfId="0" applyFont="1" applyBorder="1" applyAlignment="1">
      <alignment vertical="center"/>
    </xf>
    <xf numFmtId="166" fontId="7" fillId="2" borderId="22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0" fillId="0" borderId="22" xfId="0" applyBorder="1" applyAlignment="1">
      <alignment vertical="center"/>
    </xf>
    <xf numFmtId="165" fontId="7" fillId="0" borderId="22" xfId="1" quotePrefix="1" applyNumberFormat="1" applyFont="1" applyFill="1" applyBorder="1" applyAlignment="1">
      <alignment horizontal="right" vertical="center"/>
    </xf>
    <xf numFmtId="0" fontId="0" fillId="0" borderId="20" xfId="0" applyBorder="1"/>
    <xf numFmtId="0" fontId="0" fillId="0" borderId="7" xfId="0" applyBorder="1"/>
    <xf numFmtId="41" fontId="7" fillId="0" borderId="44" xfId="1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7" fontId="7" fillId="0" borderId="42" xfId="1" applyNumberFormat="1" applyFont="1" applyFill="1" applyBorder="1" applyAlignment="1">
      <alignment horizontal="right" vertical="center"/>
    </xf>
    <xf numFmtId="41" fontId="7" fillId="0" borderId="47" xfId="1" applyFont="1" applyBorder="1" applyAlignment="1">
      <alignment horizontal="right" vertical="center"/>
    </xf>
    <xf numFmtId="0" fontId="7" fillId="0" borderId="47" xfId="0" applyFont="1" applyBorder="1" applyAlignment="1">
      <alignment horizontal="center" vertical="center"/>
    </xf>
    <xf numFmtId="167" fontId="7" fillId="0" borderId="47" xfId="0" applyNumberFormat="1" applyFont="1" applyBorder="1" applyAlignment="1">
      <alignment horizontal="right" vertical="center"/>
    </xf>
    <xf numFmtId="0" fontId="7" fillId="0" borderId="47" xfId="0" applyFont="1" applyBorder="1" applyAlignment="1">
      <alignment horizontal="right" vertical="center"/>
    </xf>
    <xf numFmtId="167" fontId="7" fillId="0" borderId="16" xfId="1" applyNumberFormat="1" applyFont="1" applyFill="1" applyBorder="1" applyAlignment="1">
      <alignment vertical="center"/>
    </xf>
    <xf numFmtId="165" fontId="7" fillId="0" borderId="39" xfId="1" applyNumberFormat="1" applyFont="1" applyFill="1" applyBorder="1" applyAlignment="1">
      <alignment horizontal="center" vertical="center"/>
    </xf>
    <xf numFmtId="41" fontId="7" fillId="0" borderId="51" xfId="1" applyFont="1" applyFill="1" applyBorder="1" applyAlignment="1">
      <alignment horizontal="center" vertical="center"/>
    </xf>
    <xf numFmtId="165" fontId="7" fillId="0" borderId="52" xfId="1" applyNumberFormat="1" applyFont="1" applyFill="1" applyBorder="1" applyAlignment="1">
      <alignment horizontal="center" vertical="center"/>
    </xf>
    <xf numFmtId="41" fontId="7" fillId="0" borderId="42" xfId="1" applyFont="1" applyBorder="1" applyAlignment="1">
      <alignment horizontal="center" vertical="center" shrinkToFit="1"/>
    </xf>
    <xf numFmtId="0" fontId="7" fillId="0" borderId="12" xfId="1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 shrinkToFit="1"/>
    </xf>
    <xf numFmtId="167" fontId="7" fillId="0" borderId="12" xfId="2" quotePrefix="1" applyNumberFormat="1" applyFont="1" applyFill="1" applyBorder="1" applyAlignment="1">
      <alignment horizontal="center" vertical="center" wrapText="1"/>
    </xf>
    <xf numFmtId="165" fontId="7" fillId="0" borderId="37" xfId="1" quotePrefix="1" applyNumberFormat="1" applyFont="1" applyFill="1" applyBorder="1" applyAlignment="1">
      <alignment horizontal="center" vertical="center"/>
    </xf>
    <xf numFmtId="0" fontId="7" fillId="0" borderId="55" xfId="1" applyNumberFormat="1" applyFont="1" applyFill="1" applyBorder="1" applyAlignment="1">
      <alignment horizontal="center" vertical="center"/>
    </xf>
    <xf numFmtId="41" fontId="7" fillId="2" borderId="57" xfId="1" applyFont="1" applyFill="1" applyBorder="1" applyAlignment="1">
      <alignment vertical="center" shrinkToFit="1"/>
    </xf>
    <xf numFmtId="167" fontId="7" fillId="0" borderId="55" xfId="1" applyNumberFormat="1" applyFont="1" applyFill="1" applyBorder="1" applyAlignment="1">
      <alignment vertical="center"/>
    </xf>
    <xf numFmtId="165" fontId="7" fillId="0" borderId="60" xfId="1" applyNumberFormat="1" applyFont="1" applyFill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167" fontId="7" fillId="0" borderId="61" xfId="1" applyNumberFormat="1" applyFont="1" applyFill="1" applyBorder="1" applyAlignment="1">
      <alignment horizontal="right" vertical="center"/>
    </xf>
    <xf numFmtId="167" fontId="7" fillId="0" borderId="42" xfId="0" applyNumberFormat="1" applyFont="1" applyBorder="1" applyAlignment="1">
      <alignment horizontal="right" vertical="center"/>
    </xf>
    <xf numFmtId="0" fontId="7" fillId="0" borderId="42" xfId="0" applyFont="1" applyBorder="1" applyAlignment="1">
      <alignment horizontal="right" vertical="center"/>
    </xf>
    <xf numFmtId="41" fontId="7" fillId="0" borderId="42" xfId="1" applyFont="1" applyBorder="1" applyAlignment="1">
      <alignment horizontal="right" vertical="center"/>
    </xf>
    <xf numFmtId="41" fontId="7" fillId="0" borderId="44" xfId="1" applyFont="1" applyFill="1" applyBorder="1" applyAlignment="1">
      <alignment vertical="center"/>
    </xf>
    <xf numFmtId="167" fontId="7" fillId="0" borderId="61" xfId="0" applyNumberFormat="1" applyFont="1" applyBorder="1" applyAlignment="1">
      <alignment horizontal="right" vertical="center"/>
    </xf>
    <xf numFmtId="0" fontId="7" fillId="0" borderId="61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shrinkToFit="1"/>
    </xf>
    <xf numFmtId="0" fontId="9" fillId="0" borderId="5" xfId="0" applyFont="1" applyBorder="1" applyAlignment="1">
      <alignment vertical="center" shrinkToFit="1"/>
    </xf>
    <xf numFmtId="0" fontId="6" fillId="0" borderId="7" xfId="0" applyFont="1" applyBorder="1" applyAlignment="1">
      <alignment horizontal="left" vertical="center" wrapText="1" shrinkToFit="1"/>
    </xf>
    <xf numFmtId="0" fontId="6" fillId="0" borderId="0" xfId="0" applyFont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shrinkToFit="1"/>
    </xf>
    <xf numFmtId="0" fontId="7" fillId="2" borderId="7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 vertical="center" shrinkToFit="1"/>
    </xf>
    <xf numFmtId="0" fontId="7" fillId="2" borderId="8" xfId="0" applyFont="1" applyFill="1" applyBorder="1" applyAlignment="1">
      <alignment horizontal="left" vertical="center" shrinkToFit="1"/>
    </xf>
    <xf numFmtId="0" fontId="6" fillId="2" borderId="10" xfId="0" applyFont="1" applyFill="1" applyBorder="1" applyAlignment="1">
      <alignment vertical="center" shrinkToFit="1"/>
    </xf>
    <xf numFmtId="0" fontId="9" fillId="2" borderId="9" xfId="0" applyFont="1" applyFill="1" applyBorder="1" applyAlignment="1">
      <alignment vertical="center" shrinkToFit="1"/>
    </xf>
    <xf numFmtId="0" fontId="9" fillId="2" borderId="11" xfId="0" applyFont="1" applyFill="1" applyBorder="1" applyAlignment="1">
      <alignment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41" fontId="7" fillId="0" borderId="21" xfId="1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22" xfId="0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1" fontId="7" fillId="0" borderId="21" xfId="1" applyFont="1" applyBorder="1" applyAlignment="1">
      <alignment horizontal="center" vertical="center" wrapText="1" shrinkToFit="1"/>
    </xf>
    <xf numFmtId="41" fontId="7" fillId="0" borderId="0" xfId="1" applyFont="1" applyBorder="1" applyAlignment="1">
      <alignment horizontal="center" vertical="center" shrinkToFit="1"/>
    </xf>
    <xf numFmtId="41" fontId="7" fillId="0" borderId="22" xfId="1" applyFont="1" applyBorder="1" applyAlignment="1">
      <alignment horizontal="center"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41" fontId="7" fillId="0" borderId="0" xfId="1" applyFont="1" applyBorder="1" applyAlignment="1">
      <alignment horizontal="center" vertical="center" wrapText="1" shrinkToFit="1"/>
    </xf>
    <xf numFmtId="41" fontId="7" fillId="0" borderId="22" xfId="1" applyFont="1" applyBorder="1" applyAlignment="1">
      <alignment horizontal="center" vertical="center" wrapText="1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0" fillId="0" borderId="11" xfId="0" applyFont="1" applyBorder="1" applyAlignment="1">
      <alignment vertical="center" shrinkToFit="1"/>
    </xf>
    <xf numFmtId="41" fontId="12" fillId="0" borderId="21" xfId="1" applyFont="1" applyBorder="1" applyAlignment="1">
      <alignment horizontal="left" vertical="center" shrinkToFit="1"/>
    </xf>
    <xf numFmtId="41" fontId="12" fillId="0" borderId="0" xfId="1" applyFont="1" applyBorder="1" applyAlignment="1">
      <alignment horizontal="left" vertical="center" shrinkToFit="1"/>
    </xf>
    <xf numFmtId="41" fontId="12" fillId="0" borderId="22" xfId="1" applyFont="1" applyBorder="1" applyAlignment="1">
      <alignment horizontal="left" vertical="center" shrinkToFit="1"/>
    </xf>
    <xf numFmtId="41" fontId="7" fillId="0" borderId="21" xfId="1" applyFont="1" applyBorder="1" applyAlignment="1">
      <alignment horizontal="left" vertical="center" wrapText="1" shrinkToFit="1"/>
    </xf>
    <xf numFmtId="41" fontId="7" fillId="0" borderId="0" xfId="1" applyFont="1" applyBorder="1" applyAlignment="1">
      <alignment horizontal="left" vertical="center" shrinkToFit="1"/>
    </xf>
    <xf numFmtId="41" fontId="7" fillId="0" borderId="22" xfId="1" applyFont="1" applyBorder="1" applyAlignment="1">
      <alignment horizontal="left" vertical="center" shrinkToFit="1"/>
    </xf>
    <xf numFmtId="41" fontId="8" fillId="0" borderId="21" xfId="1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0" borderId="34" xfId="0" applyFont="1" applyBorder="1" applyAlignment="1">
      <alignment horizontal="left" vertical="center" shrinkToFit="1"/>
    </xf>
    <xf numFmtId="0" fontId="7" fillId="0" borderId="31" xfId="0" applyFont="1" applyBorder="1" applyAlignment="1">
      <alignment horizontal="left" vertical="center" wrapText="1" shrinkToFit="1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shrinkToFit="1"/>
    </xf>
    <xf numFmtId="0" fontId="8" fillId="0" borderId="5" xfId="0" applyFont="1" applyBorder="1" applyAlignment="1">
      <alignment vertical="center" shrinkToFit="1"/>
    </xf>
    <xf numFmtId="0" fontId="6" fillId="0" borderId="31" xfId="0" applyFont="1" applyBorder="1" applyAlignment="1">
      <alignment horizontal="left" vertical="center" wrapText="1" shrinkToFi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41" fontId="7" fillId="0" borderId="50" xfId="1" applyFont="1" applyBorder="1" applyAlignment="1">
      <alignment horizontal="center" vertical="center" wrapText="1" shrinkToFit="1"/>
    </xf>
    <xf numFmtId="41" fontId="7" fillId="0" borderId="43" xfId="1" applyFont="1" applyBorder="1" applyAlignment="1">
      <alignment horizontal="center" vertical="center" wrapText="1" shrinkToFit="1"/>
    </xf>
    <xf numFmtId="0" fontId="7" fillId="0" borderId="34" xfId="0" applyFont="1" applyBorder="1" applyAlignment="1">
      <alignment vertical="center" shrinkToFit="1"/>
    </xf>
    <xf numFmtId="0" fontId="7" fillId="0" borderId="17" xfId="1" applyNumberFormat="1" applyFont="1" applyFill="1" applyBorder="1" applyAlignment="1">
      <alignment horizontal="center" vertical="center"/>
    </xf>
    <xf numFmtId="0" fontId="7" fillId="0" borderId="5" xfId="1" applyNumberFormat="1" applyFont="1" applyFill="1" applyBorder="1" applyAlignment="1">
      <alignment horizontal="center" vertical="center"/>
    </xf>
    <xf numFmtId="0" fontId="7" fillId="0" borderId="18" xfId="1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7" fillId="0" borderId="53" xfId="1" applyNumberFormat="1" applyFont="1" applyBorder="1" applyAlignment="1">
      <alignment horizontal="center" vertical="center" shrinkToFit="1"/>
    </xf>
    <xf numFmtId="41" fontId="7" fillId="0" borderId="58" xfId="1" applyFont="1" applyBorder="1" applyAlignment="1">
      <alignment horizontal="center" vertical="center" wrapText="1" shrinkToFit="1"/>
    </xf>
    <xf numFmtId="41" fontId="7" fillId="0" borderId="59" xfId="1" applyFont="1" applyBorder="1" applyAlignment="1">
      <alignment horizontal="center" vertical="center" wrapText="1" shrinkToFit="1"/>
    </xf>
    <xf numFmtId="0" fontId="7" fillId="0" borderId="5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41" fontId="7" fillId="0" borderId="13" xfId="1" applyFont="1" applyBorder="1" applyAlignment="1">
      <alignment horizontal="center" vertical="center" shrinkToFit="1"/>
    </xf>
    <xf numFmtId="41" fontId="7" fillId="0" borderId="14" xfId="1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wrapText="1" shrinkToFit="1"/>
    </xf>
    <xf numFmtId="0" fontId="7" fillId="0" borderId="14" xfId="0" applyFont="1" applyBorder="1" applyAlignment="1">
      <alignment horizontal="center" vertical="center" wrapText="1" shrinkToFit="1"/>
    </xf>
    <xf numFmtId="41" fontId="7" fillId="2" borderId="56" xfId="1" applyFont="1" applyFill="1" applyBorder="1" applyAlignment="1">
      <alignment horizontal="center" vertical="center" shrinkToFit="1"/>
    </xf>
    <xf numFmtId="41" fontId="7" fillId="2" borderId="57" xfId="1" applyFont="1" applyFill="1" applyBorder="1" applyAlignment="1">
      <alignment horizontal="center" vertical="center" shrinkToFit="1"/>
    </xf>
    <xf numFmtId="41" fontId="7" fillId="2" borderId="58" xfId="1" applyFont="1" applyFill="1" applyBorder="1" applyAlignment="1">
      <alignment horizontal="center" vertical="center" shrinkToFit="1"/>
    </xf>
    <xf numFmtId="41" fontId="7" fillId="2" borderId="59" xfId="1" applyFont="1" applyFill="1" applyBorder="1" applyAlignment="1">
      <alignment horizontal="center" vertical="center" shrinkToFit="1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132521</xdr:colOff>
      <xdr:row>40</xdr:row>
      <xdr:rowOff>77303</xdr:rowOff>
    </xdr:from>
    <xdr:to>
      <xdr:col>7</xdr:col>
      <xdr:colOff>612464</xdr:colOff>
      <xdr:row>44</xdr:row>
      <xdr:rowOff>106599</xdr:rowOff>
    </xdr:to>
    <xdr:pic>
      <xdr:nvPicPr>
        <xdr:cNvPr id="2" name="그림 1" descr="대양전기 영문사인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1869" y="8067260"/>
          <a:ext cx="1973698" cy="8055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40471</xdr:colOff>
      <xdr:row>29</xdr:row>
      <xdr:rowOff>71521</xdr:rowOff>
    </xdr:from>
    <xdr:to>
      <xdr:col>7</xdr:col>
      <xdr:colOff>637047</xdr:colOff>
      <xdr:row>33</xdr:row>
      <xdr:rowOff>103357</xdr:rowOff>
    </xdr:to>
    <xdr:pic>
      <xdr:nvPicPr>
        <xdr:cNvPr id="2" name="그림 1" descr="대양전기 영문사인.JPG">
          <a:extLst>
            <a:ext uri="{FF2B5EF4-FFF2-40B4-BE49-F238E27FC236}">
              <a16:creationId xmlns:a16="http://schemas.microsoft.com/office/drawing/2014/main" id="{93A1DA0A-2B83-41D5-95C6-6CC1EC7F4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51118" y="7878286"/>
          <a:ext cx="1992455" cy="8087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view="pageBreakPreview" zoomScale="115" zoomScaleNormal="85" zoomScaleSheetLayoutView="115" workbookViewId="0">
      <selection sqref="A1:I2"/>
    </sheetView>
  </sheetViews>
  <sheetFormatPr defaultRowHeight="14" x14ac:dyDescent="0.25"/>
  <cols>
    <col min="1" max="1" width="11.33203125" customWidth="1"/>
    <col min="2" max="2" width="4.6640625" customWidth="1"/>
    <col min="4" max="4" width="8.6640625" customWidth="1"/>
    <col min="5" max="5" width="6.1640625" customWidth="1"/>
    <col min="6" max="6" width="11.6640625" customWidth="1"/>
    <col min="7" max="7" width="8" bestFit="1" customWidth="1"/>
    <col min="8" max="8" width="9.58203125" customWidth="1"/>
    <col min="9" max="9" width="12.6640625" customWidth="1"/>
  </cols>
  <sheetData>
    <row r="1" spans="1:9" s="1" customFormat="1" ht="15" customHeight="1" thickTop="1" x14ac:dyDescent="0.25">
      <c r="A1" s="108" t="s">
        <v>29</v>
      </c>
      <c r="B1" s="109"/>
      <c r="C1" s="109"/>
      <c r="D1" s="109"/>
      <c r="E1" s="109"/>
      <c r="F1" s="109"/>
      <c r="G1" s="109"/>
      <c r="H1" s="109"/>
      <c r="I1" s="110"/>
    </row>
    <row r="2" spans="1:9" s="1" customFormat="1" ht="15" customHeight="1" thickBot="1" x14ac:dyDescent="0.3">
      <c r="A2" s="111"/>
      <c r="B2" s="112"/>
      <c r="C2" s="112"/>
      <c r="D2" s="112"/>
      <c r="E2" s="112"/>
      <c r="F2" s="112"/>
      <c r="G2" s="112"/>
      <c r="H2" s="112"/>
      <c r="I2" s="113"/>
    </row>
    <row r="3" spans="1:9" s="1" customFormat="1" ht="17.149999999999999" customHeight="1" thickTop="1" x14ac:dyDescent="0.25">
      <c r="A3" s="5" t="s">
        <v>0</v>
      </c>
      <c r="B3" s="6"/>
      <c r="C3" s="6"/>
      <c r="D3" s="6"/>
      <c r="E3" s="6"/>
      <c r="F3" s="5" t="s">
        <v>69</v>
      </c>
      <c r="G3" s="6"/>
      <c r="H3" s="6"/>
      <c r="I3" s="7"/>
    </row>
    <row r="4" spans="1:9" s="1" customFormat="1" ht="17.149999999999999" customHeight="1" thickBot="1" x14ac:dyDescent="0.3">
      <c r="A4" s="8" t="s">
        <v>17</v>
      </c>
      <c r="B4" s="9"/>
      <c r="C4" s="9"/>
      <c r="D4" s="9"/>
      <c r="E4" s="10"/>
      <c r="F4" s="47" t="s">
        <v>70</v>
      </c>
      <c r="G4" s="12"/>
      <c r="H4" s="12"/>
      <c r="I4" s="13"/>
    </row>
    <row r="5" spans="1:9" s="1" customFormat="1" ht="17.149999999999999" customHeight="1" thickTop="1" x14ac:dyDescent="0.25">
      <c r="A5" s="11" t="s">
        <v>21</v>
      </c>
      <c r="B5" s="12"/>
      <c r="C5" s="12"/>
      <c r="D5" s="12"/>
      <c r="E5" s="12"/>
      <c r="F5" s="5" t="s">
        <v>30</v>
      </c>
      <c r="G5" s="6"/>
      <c r="H5" s="6"/>
      <c r="I5" s="7"/>
    </row>
    <row r="6" spans="1:9" s="1" customFormat="1" ht="17.149999999999999" customHeight="1" thickBot="1" x14ac:dyDescent="0.3">
      <c r="A6" s="11" t="s">
        <v>26</v>
      </c>
      <c r="B6" s="12"/>
      <c r="C6" s="12"/>
      <c r="D6" s="12"/>
      <c r="E6" s="12"/>
      <c r="F6" s="37"/>
      <c r="G6" s="15"/>
      <c r="H6" s="15"/>
      <c r="I6" s="16"/>
    </row>
    <row r="7" spans="1:9" s="1" customFormat="1" ht="17.149999999999999" customHeight="1" thickTop="1" x14ac:dyDescent="0.25">
      <c r="A7" s="11" t="s">
        <v>22</v>
      </c>
      <c r="B7" s="12"/>
      <c r="C7" s="12"/>
      <c r="D7" s="12"/>
      <c r="E7" s="12"/>
      <c r="F7" s="17" t="s">
        <v>31</v>
      </c>
      <c r="G7" s="12"/>
      <c r="H7" s="12"/>
      <c r="I7" s="13"/>
    </row>
    <row r="8" spans="1:9" s="1" customFormat="1" ht="17.149999999999999" customHeight="1" thickBot="1" x14ac:dyDescent="0.3">
      <c r="A8" s="14" t="s">
        <v>23</v>
      </c>
      <c r="B8" s="15"/>
      <c r="C8" s="15"/>
      <c r="D8" s="15"/>
      <c r="E8" s="16"/>
      <c r="F8" s="114"/>
      <c r="G8" s="115"/>
      <c r="H8" s="15"/>
      <c r="I8" s="16"/>
    </row>
    <row r="9" spans="1:9" s="1" customFormat="1" ht="16.5" customHeight="1" thickTop="1" x14ac:dyDescent="0.25">
      <c r="A9" s="5" t="s">
        <v>1</v>
      </c>
      <c r="B9" s="6"/>
      <c r="C9" s="6"/>
      <c r="D9" s="6"/>
      <c r="E9" s="7"/>
      <c r="F9" s="18" t="s">
        <v>2</v>
      </c>
      <c r="G9" s="12"/>
      <c r="H9" s="12"/>
      <c r="I9" s="13"/>
    </row>
    <row r="10" spans="1:9" s="1" customFormat="1" ht="16.5" customHeight="1" x14ac:dyDescent="0.25">
      <c r="A10" s="116" t="s">
        <v>49</v>
      </c>
      <c r="B10" s="117"/>
      <c r="C10" s="117"/>
      <c r="D10" s="117"/>
      <c r="E10" s="118"/>
      <c r="F10" s="12"/>
      <c r="G10" s="12"/>
      <c r="H10" s="12"/>
      <c r="I10" s="13"/>
    </row>
    <row r="11" spans="1:9" s="1" customFormat="1" ht="16.5" customHeight="1" x14ac:dyDescent="0.25">
      <c r="A11" s="105" t="s">
        <v>24</v>
      </c>
      <c r="B11" s="106"/>
      <c r="C11" s="106"/>
      <c r="D11" s="106"/>
      <c r="E11" s="107"/>
      <c r="F11" s="12"/>
      <c r="G11" s="12"/>
      <c r="H11" s="12"/>
      <c r="I11" s="13"/>
    </row>
    <row r="12" spans="1:9" s="1" customFormat="1" ht="16.5" customHeight="1" x14ac:dyDescent="0.25">
      <c r="A12" s="105" t="s">
        <v>18</v>
      </c>
      <c r="B12" s="106"/>
      <c r="C12" s="106"/>
      <c r="D12" s="106"/>
      <c r="E12" s="107"/>
      <c r="F12" s="12" t="s">
        <v>3</v>
      </c>
      <c r="G12" s="12"/>
      <c r="H12" s="12"/>
      <c r="I12" s="13"/>
    </row>
    <row r="13" spans="1:9" s="1" customFormat="1" ht="16.5" customHeight="1" x14ac:dyDescent="0.25">
      <c r="A13" s="105" t="s">
        <v>19</v>
      </c>
      <c r="B13" s="106"/>
      <c r="C13" s="106"/>
      <c r="D13" s="106"/>
      <c r="E13" s="107"/>
      <c r="F13" s="12"/>
      <c r="G13" s="12"/>
      <c r="H13" s="12"/>
      <c r="I13" s="13"/>
    </row>
    <row r="14" spans="1:9" s="1" customFormat="1" ht="16.5" customHeight="1" x14ac:dyDescent="0.25">
      <c r="A14" s="121" t="s">
        <v>20</v>
      </c>
      <c r="B14" s="106"/>
      <c r="C14" s="106"/>
      <c r="D14" s="106"/>
      <c r="E14" s="107"/>
      <c r="F14" s="12"/>
      <c r="G14" s="12"/>
      <c r="H14" s="12"/>
      <c r="I14" s="13"/>
    </row>
    <row r="15" spans="1:9" s="1" customFormat="1" ht="16.5" customHeight="1" x14ac:dyDescent="0.25">
      <c r="A15" s="122" t="s">
        <v>54</v>
      </c>
      <c r="B15" s="123"/>
      <c r="C15" s="123"/>
      <c r="D15" s="123"/>
      <c r="E15" s="124"/>
      <c r="F15" s="12"/>
      <c r="G15" s="12"/>
      <c r="H15" s="12"/>
      <c r="I15" s="13"/>
    </row>
    <row r="16" spans="1:9" s="1" customFormat="1" ht="16.5" customHeight="1" thickBot="1" x14ac:dyDescent="0.3">
      <c r="A16" s="122" t="s">
        <v>42</v>
      </c>
      <c r="B16" s="123"/>
      <c r="C16" s="123"/>
      <c r="D16" s="123"/>
      <c r="E16" s="124"/>
      <c r="F16" s="12"/>
      <c r="G16" s="12"/>
      <c r="H16" s="12"/>
      <c r="I16" s="13"/>
    </row>
    <row r="17" spans="1:15" s="1" customFormat="1" ht="16.5" customHeight="1" thickTop="1" thickBot="1" x14ac:dyDescent="0.3">
      <c r="A17" s="43" t="s">
        <v>55</v>
      </c>
      <c r="B17" s="44"/>
      <c r="C17" s="44"/>
      <c r="D17" s="45"/>
      <c r="E17" s="46"/>
      <c r="F17" s="5" t="s">
        <v>14</v>
      </c>
      <c r="G17" s="6"/>
      <c r="H17" s="19" t="s">
        <v>25</v>
      </c>
      <c r="I17" s="7"/>
    </row>
    <row r="18" spans="1:15" s="1" customFormat="1" ht="16.5" customHeight="1" thickTop="1" thickBot="1" x14ac:dyDescent="0.3">
      <c r="A18" s="125"/>
      <c r="B18" s="126"/>
      <c r="C18" s="126"/>
      <c r="D18" s="126"/>
      <c r="E18" s="127"/>
      <c r="F18" s="128" t="s">
        <v>12</v>
      </c>
      <c r="G18" s="129"/>
      <c r="H18" s="130"/>
      <c r="I18" s="131"/>
    </row>
    <row r="19" spans="1:15" s="1" customFormat="1" ht="17.149999999999999" customHeight="1" thickTop="1" thickBot="1" x14ac:dyDescent="0.3">
      <c r="A19" s="20" t="s">
        <v>4</v>
      </c>
      <c r="B19" s="132" t="s">
        <v>13</v>
      </c>
      <c r="C19" s="132"/>
      <c r="D19" s="132"/>
      <c r="E19" s="21"/>
      <c r="F19" s="17" t="s">
        <v>5</v>
      </c>
      <c r="G19" s="12"/>
      <c r="H19" s="12"/>
      <c r="I19" s="13"/>
    </row>
    <row r="20" spans="1:15" s="1" customFormat="1" ht="17.149999999999999" customHeight="1" thickTop="1" thickBot="1" x14ac:dyDescent="0.3">
      <c r="A20" s="20" t="s">
        <v>6</v>
      </c>
      <c r="B20" s="133" t="s">
        <v>27</v>
      </c>
      <c r="C20" s="133"/>
      <c r="D20" s="133"/>
      <c r="E20" s="21"/>
      <c r="F20" s="14" t="s">
        <v>28</v>
      </c>
      <c r="G20" s="15"/>
      <c r="H20" s="15"/>
      <c r="I20" s="16"/>
    </row>
    <row r="21" spans="1:15" s="1" customFormat="1" ht="15" customHeight="1" thickTop="1" x14ac:dyDescent="0.25">
      <c r="A21" s="134" t="s">
        <v>45</v>
      </c>
      <c r="B21" s="135"/>
      <c r="C21" s="138" t="s">
        <v>9</v>
      </c>
      <c r="D21" s="139"/>
      <c r="E21" s="139"/>
      <c r="F21" s="140"/>
      <c r="G21" s="135" t="s">
        <v>10</v>
      </c>
      <c r="H21" s="145" t="s">
        <v>15</v>
      </c>
      <c r="I21" s="119" t="s">
        <v>16</v>
      </c>
    </row>
    <row r="22" spans="1:15" s="1" customFormat="1" ht="15" customHeight="1" thickBot="1" x14ac:dyDescent="0.3">
      <c r="A22" s="136"/>
      <c r="B22" s="137"/>
      <c r="C22" s="141"/>
      <c r="D22" s="142"/>
      <c r="E22" s="142"/>
      <c r="F22" s="143"/>
      <c r="G22" s="144"/>
      <c r="H22" s="146"/>
      <c r="I22" s="120"/>
    </row>
    <row r="23" spans="1:15" s="1" customFormat="1" ht="15" customHeight="1" thickTop="1" x14ac:dyDescent="0.25">
      <c r="A23" s="150"/>
      <c r="B23" s="151"/>
      <c r="C23" s="152"/>
      <c r="D23" s="153"/>
      <c r="E23" s="153"/>
      <c r="F23" s="154"/>
      <c r="G23" s="71"/>
      <c r="H23" s="66"/>
      <c r="I23" s="64"/>
    </row>
    <row r="24" spans="1:15" s="1" customFormat="1" ht="15" customHeight="1" x14ac:dyDescent="0.25">
      <c r="A24" s="155" t="s">
        <v>46</v>
      </c>
      <c r="B24" s="156"/>
      <c r="C24" s="152" t="s">
        <v>50</v>
      </c>
      <c r="D24" s="157"/>
      <c r="E24" s="157"/>
      <c r="F24" s="158"/>
      <c r="G24" s="71">
        <v>17578</v>
      </c>
      <c r="H24" s="66">
        <v>5.35</v>
      </c>
      <c r="I24" s="64">
        <f>G24*H24</f>
        <v>94042.299999999988</v>
      </c>
      <c r="N24"/>
      <c r="O24"/>
    </row>
    <row r="25" spans="1:15" s="1" customFormat="1" ht="15" customHeight="1" x14ac:dyDescent="0.25">
      <c r="A25" s="155" t="s">
        <v>47</v>
      </c>
      <c r="B25" s="156"/>
      <c r="C25" s="152" t="s">
        <v>58</v>
      </c>
      <c r="D25" s="157"/>
      <c r="E25" s="157"/>
      <c r="F25" s="158"/>
      <c r="G25" s="71">
        <v>9306</v>
      </c>
      <c r="H25" s="66">
        <v>4.25</v>
      </c>
      <c r="I25" s="64">
        <f t="shared" ref="I25" si="0">G25*H25</f>
        <v>39550.5</v>
      </c>
    </row>
    <row r="26" spans="1:15" s="1" customFormat="1" ht="15" customHeight="1" x14ac:dyDescent="0.25">
      <c r="A26" s="155"/>
      <c r="B26" s="156"/>
      <c r="C26" s="152"/>
      <c r="D26" s="157"/>
      <c r="E26" s="157"/>
      <c r="F26" s="158"/>
      <c r="G26" s="71"/>
      <c r="H26" s="23"/>
      <c r="I26" s="64"/>
    </row>
    <row r="27" spans="1:15" s="1" customFormat="1" ht="15" customHeight="1" x14ac:dyDescent="0.25">
      <c r="A27" s="155"/>
      <c r="B27" s="156"/>
      <c r="C27" s="152" t="s">
        <v>56</v>
      </c>
      <c r="D27" s="157"/>
      <c r="E27" s="157"/>
      <c r="F27" s="158"/>
      <c r="G27"/>
      <c r="H27" s="23"/>
      <c r="I27" s="24"/>
    </row>
    <row r="28" spans="1:15" s="1" customFormat="1" ht="15" customHeight="1" x14ac:dyDescent="0.25">
      <c r="A28" s="76"/>
      <c r="B28" s="69"/>
      <c r="C28" s="147"/>
      <c r="D28" s="148"/>
      <c r="E28" s="148"/>
      <c r="F28" s="149"/>
      <c r="G28"/>
      <c r="H28" s="23"/>
      <c r="I28" s="24"/>
    </row>
    <row r="29" spans="1:15" s="1" customFormat="1" ht="15" customHeight="1" x14ac:dyDescent="0.25">
      <c r="A29" s="76"/>
      <c r="B29" s="69"/>
      <c r="C29" s="147" t="s">
        <v>44</v>
      </c>
      <c r="D29" s="148"/>
      <c r="E29" s="148"/>
      <c r="F29" s="149"/>
      <c r="G29"/>
      <c r="H29" s="65"/>
      <c r="I29" s="42"/>
    </row>
    <row r="30" spans="1:15" s="1" customFormat="1" ht="15" customHeight="1" x14ac:dyDescent="0.25">
      <c r="A30" s="76"/>
      <c r="B30" s="69"/>
      <c r="C30" s="162" t="s">
        <v>68</v>
      </c>
      <c r="D30" s="163"/>
      <c r="E30" s="163"/>
      <c r="F30" s="164"/>
      <c r="G30"/>
      <c r="H30" s="23"/>
      <c r="I30" s="24"/>
    </row>
    <row r="31" spans="1:15" s="1" customFormat="1" ht="15" customHeight="1" x14ac:dyDescent="0.25">
      <c r="A31" s="76"/>
      <c r="B31" s="69"/>
      <c r="C31" s="162" t="s">
        <v>43</v>
      </c>
      <c r="D31" s="163"/>
      <c r="E31" s="163"/>
      <c r="F31" s="164"/>
      <c r="G31"/>
      <c r="H31" s="23"/>
      <c r="I31" s="24"/>
    </row>
    <row r="32" spans="1:15" s="2" customFormat="1" ht="15" customHeight="1" x14ac:dyDescent="0.25">
      <c r="A32" s="76"/>
      <c r="B32" s="69"/>
      <c r="C32" s="147" t="s">
        <v>67</v>
      </c>
      <c r="D32" s="148"/>
      <c r="E32" s="148"/>
      <c r="F32" s="149"/>
      <c r="G32"/>
      <c r="H32" s="23"/>
      <c r="I32" s="24"/>
    </row>
    <row r="33" spans="1:9" s="1" customFormat="1" ht="15" customHeight="1" x14ac:dyDescent="0.25">
      <c r="A33" s="76"/>
      <c r="B33" s="69"/>
      <c r="C33" s="67"/>
      <c r="F33" s="73"/>
      <c r="G33" s="75"/>
      <c r="H33" s="74"/>
      <c r="I33" s="42"/>
    </row>
    <row r="34" spans="1:9" s="1" customFormat="1" ht="15" customHeight="1" x14ac:dyDescent="0.25">
      <c r="A34" s="76"/>
      <c r="B34" s="69"/>
      <c r="C34" s="165"/>
      <c r="D34" s="166"/>
      <c r="E34" s="166"/>
      <c r="F34" s="167"/>
      <c r="G34" s="75"/>
      <c r="H34" s="25"/>
      <c r="I34" s="26"/>
    </row>
    <row r="35" spans="1:9" s="2" customFormat="1" ht="15" customHeight="1" x14ac:dyDescent="0.25">
      <c r="A35" s="76"/>
      <c r="B35" s="69"/>
      <c r="C35" s="168"/>
      <c r="D35" s="169"/>
      <c r="E35" s="169"/>
      <c r="F35" s="170"/>
      <c r="G35" s="27"/>
      <c r="H35" s="12"/>
      <c r="I35" s="28"/>
    </row>
    <row r="36" spans="1:9" s="2" customFormat="1" ht="15" customHeight="1" x14ac:dyDescent="0.25">
      <c r="A36" s="76"/>
      <c r="B36" s="69"/>
      <c r="C36" s="168"/>
      <c r="D36" s="169"/>
      <c r="E36" s="169"/>
      <c r="F36" s="170"/>
      <c r="G36" s="27"/>
      <c r="H36" s="12"/>
      <c r="I36" s="28"/>
    </row>
    <row r="37" spans="1:9" s="2" customFormat="1" ht="15" customHeight="1" thickBot="1" x14ac:dyDescent="0.3">
      <c r="A37" s="76"/>
      <c r="B37" s="68"/>
      <c r="C37" s="29"/>
      <c r="D37" s="29"/>
      <c r="E37" s="29"/>
      <c r="F37" s="72"/>
      <c r="G37" s="70"/>
      <c r="H37" s="12"/>
      <c r="I37" s="28"/>
    </row>
    <row r="38" spans="1:9" s="1" customFormat="1" ht="24" customHeight="1" thickTop="1" thickBot="1" x14ac:dyDescent="0.3">
      <c r="A38" s="159" t="s">
        <v>71</v>
      </c>
      <c r="B38" s="160"/>
      <c r="C38" s="160"/>
      <c r="D38" s="160"/>
      <c r="E38" s="160"/>
      <c r="F38" s="160"/>
      <c r="G38" s="160"/>
      <c r="H38" s="160"/>
      <c r="I38" s="161"/>
    </row>
    <row r="39" spans="1:9" s="1" customFormat="1" ht="15" customHeight="1" thickTop="1" x14ac:dyDescent="0.25">
      <c r="A39" s="17"/>
      <c r="B39" s="30"/>
      <c r="C39" s="30"/>
      <c r="D39" s="31"/>
      <c r="E39" s="32"/>
      <c r="F39" s="32"/>
      <c r="G39" s="32"/>
      <c r="H39" s="32"/>
      <c r="I39" s="33"/>
    </row>
    <row r="40" spans="1:9" s="1" customFormat="1" ht="15" customHeight="1" x14ac:dyDescent="0.25">
      <c r="A40" s="22"/>
      <c r="B40" s="32"/>
      <c r="C40" s="32"/>
      <c r="D40" s="32"/>
      <c r="E40" s="32"/>
      <c r="F40" s="34" t="s">
        <v>11</v>
      </c>
      <c r="G40" s="32"/>
      <c r="H40" s="32"/>
      <c r="I40" s="33"/>
    </row>
    <row r="41" spans="1:9" s="1" customFormat="1" ht="15" customHeight="1" x14ac:dyDescent="0.25">
      <c r="A41" s="17"/>
      <c r="B41" s="30"/>
      <c r="C41" s="30"/>
      <c r="D41" s="35"/>
      <c r="E41" s="32"/>
      <c r="F41" s="35"/>
      <c r="G41" s="32"/>
      <c r="H41" s="32"/>
      <c r="I41" s="33"/>
    </row>
    <row r="42" spans="1:9" s="1" customFormat="1" ht="15" customHeight="1" x14ac:dyDescent="0.25">
      <c r="A42" s="17"/>
      <c r="B42" s="30"/>
      <c r="C42" s="30"/>
      <c r="D42" s="35"/>
      <c r="E42" s="30"/>
      <c r="F42" s="35"/>
      <c r="G42" s="32"/>
      <c r="H42" s="32"/>
      <c r="I42" s="33"/>
    </row>
    <row r="43" spans="1:9" s="1" customFormat="1" ht="15" customHeight="1" x14ac:dyDescent="0.25">
      <c r="A43" s="17"/>
      <c r="B43" s="30"/>
      <c r="C43" s="30"/>
      <c r="D43" s="35"/>
      <c r="E43" s="30"/>
      <c r="F43" s="32"/>
      <c r="G43" s="32"/>
      <c r="H43" s="32"/>
      <c r="I43" s="33"/>
    </row>
    <row r="44" spans="1:9" s="1" customFormat="1" ht="15" customHeight="1" x14ac:dyDescent="0.25">
      <c r="A44" s="17"/>
      <c r="B44" s="30"/>
      <c r="C44" s="30"/>
      <c r="D44" s="35"/>
      <c r="E44" s="30"/>
      <c r="F44" s="32"/>
      <c r="G44" s="32"/>
      <c r="H44" s="32"/>
      <c r="I44" s="33"/>
    </row>
    <row r="45" spans="1:9" s="1" customFormat="1" ht="15" customHeight="1" thickBot="1" x14ac:dyDescent="0.3">
      <c r="A45" s="17"/>
      <c r="B45" s="30"/>
      <c r="C45" s="30"/>
      <c r="D45" s="35"/>
      <c r="E45" s="30"/>
      <c r="F45" s="36"/>
      <c r="G45" s="36"/>
      <c r="H45" s="36"/>
      <c r="I45" s="33"/>
    </row>
    <row r="46" spans="1:9" s="1" customFormat="1" ht="15" customHeight="1" thickBot="1" x14ac:dyDescent="0.3">
      <c r="A46" s="37"/>
      <c r="B46" s="38"/>
      <c r="C46" s="38"/>
      <c r="D46" s="39"/>
      <c r="E46" s="38"/>
      <c r="F46" s="40"/>
      <c r="G46" s="40"/>
      <c r="H46" s="40"/>
      <c r="I46" s="41"/>
    </row>
    <row r="47" spans="1:9" s="1" customFormat="1" ht="15" thickTop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s="1" customFormat="1" ht="14.5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s="1" customFormat="1" ht="14.5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s="1" customFormat="1" ht="14.5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s="1" customFormat="1" ht="14.5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s="1" customFormat="1" ht="14.5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s="1" customFormat="1" ht="14.5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s="1" customFormat="1" ht="14.5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s="1" customFormat="1" ht="14.5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s="1" customFormat="1" ht="14.5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s="1" customFormat="1" ht="14.5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ht="15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ht="15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ht="15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ht="15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ht="15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ht="15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ht="15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ht="15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ht="15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ht="15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ht="15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ht="15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ht="15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ht="15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ht="15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ht="15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ht="15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ht="15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ht="15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ht="15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ht="15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ht="15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ht="15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ht="15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ht="15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ht="15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ht="15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ht="15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ht="15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ht="15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ht="15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ht="15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ht="15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ht="15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ht="15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ht="15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ht="15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ht="15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ht="15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ht="15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ht="15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ht="15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ht="15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5" x14ac:dyDescent="0.35">
      <c r="A101" s="4"/>
      <c r="B101" s="4"/>
      <c r="C101" s="4"/>
      <c r="D101" s="4"/>
      <c r="E101" s="4"/>
      <c r="F101" s="4"/>
      <c r="G101" s="4"/>
      <c r="H101" s="4"/>
      <c r="I101" s="4"/>
    </row>
  </sheetData>
  <mergeCells count="37">
    <mergeCell ref="C23:F23"/>
    <mergeCell ref="A23:B23"/>
    <mergeCell ref="A21:B22"/>
    <mergeCell ref="A26:B26"/>
    <mergeCell ref="A25:B25"/>
    <mergeCell ref="C24:F24"/>
    <mergeCell ref="A24:B24"/>
    <mergeCell ref="C25:F25"/>
    <mergeCell ref="C26:F26"/>
    <mergeCell ref="I21:I22"/>
    <mergeCell ref="A14:E14"/>
    <mergeCell ref="A15:E15"/>
    <mergeCell ref="A18:E18"/>
    <mergeCell ref="F18:I18"/>
    <mergeCell ref="B19:D19"/>
    <mergeCell ref="B20:D20"/>
    <mergeCell ref="C21:F22"/>
    <mergeCell ref="G21:G22"/>
    <mergeCell ref="H21:H22"/>
    <mergeCell ref="A16:E16"/>
    <mergeCell ref="A13:E13"/>
    <mergeCell ref="A1:I2"/>
    <mergeCell ref="F8:G8"/>
    <mergeCell ref="A10:E10"/>
    <mergeCell ref="A11:E11"/>
    <mergeCell ref="A12:E12"/>
    <mergeCell ref="C32:F32"/>
    <mergeCell ref="A38:I38"/>
    <mergeCell ref="C27:F27"/>
    <mergeCell ref="C35:F35"/>
    <mergeCell ref="C36:F36"/>
    <mergeCell ref="C34:F34"/>
    <mergeCell ref="C28:F28"/>
    <mergeCell ref="C29:F29"/>
    <mergeCell ref="C30:F30"/>
    <mergeCell ref="C31:F31"/>
    <mergeCell ref="A27:B27"/>
  </mergeCells>
  <phoneticPr fontId="2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84"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"/>
  <sheetViews>
    <sheetView view="pageBreakPreview" zoomScaleNormal="85" zoomScaleSheetLayoutView="100" workbookViewId="0">
      <selection sqref="A1:I2"/>
    </sheetView>
  </sheetViews>
  <sheetFormatPr defaultRowHeight="14" x14ac:dyDescent="0.25"/>
  <cols>
    <col min="1" max="1" width="11.33203125" customWidth="1"/>
    <col min="2" max="2" width="4.6640625" customWidth="1"/>
    <col min="4" max="4" width="13.4140625" customWidth="1"/>
    <col min="5" max="5" width="6.1640625" customWidth="1"/>
    <col min="6" max="6" width="10.1640625" customWidth="1"/>
    <col min="7" max="7" width="8" customWidth="1"/>
    <col min="8" max="8" width="9.58203125" customWidth="1"/>
    <col min="9" max="9" width="12.6640625" customWidth="1"/>
  </cols>
  <sheetData>
    <row r="1" spans="1:9" s="1" customFormat="1" ht="20" customHeight="1" x14ac:dyDescent="0.25">
      <c r="A1" s="173" t="s">
        <v>32</v>
      </c>
      <c r="B1" s="174"/>
      <c r="C1" s="174"/>
      <c r="D1" s="174"/>
      <c r="E1" s="174"/>
      <c r="F1" s="174"/>
      <c r="G1" s="174"/>
      <c r="H1" s="174"/>
      <c r="I1" s="175"/>
    </row>
    <row r="2" spans="1:9" s="1" customFormat="1" ht="20" customHeight="1" thickBot="1" x14ac:dyDescent="0.3">
      <c r="A2" s="176"/>
      <c r="B2" s="112"/>
      <c r="C2" s="112"/>
      <c r="D2" s="112"/>
      <c r="E2" s="112"/>
      <c r="F2" s="112"/>
      <c r="G2" s="112"/>
      <c r="H2" s="112"/>
      <c r="I2" s="177"/>
    </row>
    <row r="3" spans="1:9" s="1" customFormat="1" ht="20" customHeight="1" thickTop="1" x14ac:dyDescent="0.25">
      <c r="A3" s="48" t="str">
        <f>INVOICE!A3</f>
        <v>SELLER/MANUFACTURER</v>
      </c>
      <c r="B3" s="6"/>
      <c r="C3" s="6"/>
      <c r="D3" s="6"/>
      <c r="E3" s="7"/>
      <c r="F3" s="5" t="str">
        <f>INVOICE!F3</f>
        <v>INVOICE NO : TS-260601-01</v>
      </c>
      <c r="G3" s="6"/>
      <c r="H3" s="6"/>
      <c r="I3" s="7"/>
    </row>
    <row r="4" spans="1:9" s="1" customFormat="1" ht="20" customHeight="1" thickBot="1" x14ac:dyDescent="0.3">
      <c r="A4" s="49" t="str">
        <f>INVOICE!A4</f>
        <v>DAEYANG ELECTRIC CO LTD</v>
      </c>
      <c r="B4" s="9"/>
      <c r="C4" s="9"/>
      <c r="D4" s="9"/>
      <c r="E4" s="10"/>
      <c r="F4" s="47" t="str">
        <f>INVOICE!F4</f>
        <v>INVOICE DATE : 1st.Jun.2026</v>
      </c>
      <c r="G4" s="12"/>
      <c r="H4" s="12"/>
      <c r="I4" s="13"/>
    </row>
    <row r="5" spans="1:9" s="1" customFormat="1" ht="20" customHeight="1" thickTop="1" x14ac:dyDescent="0.25">
      <c r="A5" s="49" t="str">
        <f>INVOICE!A5</f>
        <v xml:space="preserve">16 Venture-ro 100beon-gil, Yeonsu-gu, </v>
      </c>
      <c r="B5" s="12"/>
      <c r="C5" s="12"/>
      <c r="D5" s="12"/>
      <c r="E5" s="13"/>
      <c r="F5" s="5" t="s">
        <v>30</v>
      </c>
      <c r="G5" s="6"/>
      <c r="H5" s="6"/>
      <c r="I5" s="50"/>
    </row>
    <row r="6" spans="1:9" s="1" customFormat="1" ht="20" customHeight="1" thickBot="1" x14ac:dyDescent="0.3">
      <c r="A6" s="49" t="str">
        <f>INVOICE!A6</f>
        <v>Incheon, SOUTH KOREA. (22013)</v>
      </c>
      <c r="B6" s="12"/>
      <c r="C6" s="12"/>
      <c r="D6" s="12"/>
      <c r="E6" s="13"/>
      <c r="F6" s="14"/>
      <c r="G6" s="15"/>
      <c r="H6" s="15"/>
      <c r="I6" s="51"/>
    </row>
    <row r="7" spans="1:9" s="1" customFormat="1" ht="20" customHeight="1" thickTop="1" x14ac:dyDescent="0.25">
      <c r="A7" s="49" t="str">
        <f>INVOICE!A7</f>
        <v>TEL: +82 32 830 5520</v>
      </c>
      <c r="B7" s="12"/>
      <c r="C7" s="12"/>
      <c r="D7" s="12"/>
      <c r="E7" s="13"/>
      <c r="F7" s="17" t="s">
        <v>31</v>
      </c>
      <c r="G7" s="12"/>
      <c r="H7" s="12"/>
      <c r="I7" s="52"/>
    </row>
    <row r="8" spans="1:9" s="1" customFormat="1" ht="20" customHeight="1" thickBot="1" x14ac:dyDescent="0.3">
      <c r="A8" s="53" t="str">
        <f>INVOICE!A8</f>
        <v>FAX: +82 32 830 5509</v>
      </c>
      <c r="B8" s="15"/>
      <c r="C8" s="15"/>
      <c r="D8" s="15"/>
      <c r="E8" s="16"/>
      <c r="F8" s="178"/>
      <c r="G8" s="179"/>
      <c r="H8" s="15"/>
      <c r="I8" s="51"/>
    </row>
    <row r="9" spans="1:9" s="1" customFormat="1" ht="20" customHeight="1" thickTop="1" x14ac:dyDescent="0.25">
      <c r="A9" s="48" t="s">
        <v>1</v>
      </c>
      <c r="B9" s="6"/>
      <c r="C9" s="6"/>
      <c r="D9" s="6"/>
      <c r="E9" s="7"/>
      <c r="F9" s="18" t="s">
        <v>2</v>
      </c>
      <c r="G9" s="12"/>
      <c r="H9" s="12"/>
      <c r="I9" s="52"/>
    </row>
    <row r="10" spans="1:9" s="1" customFormat="1" ht="20" customHeight="1" x14ac:dyDescent="0.25">
      <c r="A10" s="180" t="str">
        <f>INVOICE!A10</f>
        <v>HL Mando ANAND INDIA PVT LTD.</v>
      </c>
      <c r="B10" s="117"/>
      <c r="C10" s="117"/>
      <c r="D10" s="117"/>
      <c r="E10" s="118"/>
      <c r="F10" s="12"/>
      <c r="G10" s="12"/>
      <c r="H10" s="12"/>
      <c r="I10" s="52"/>
    </row>
    <row r="11" spans="1:9" s="1" customFormat="1" ht="20" customHeight="1" x14ac:dyDescent="0.25">
      <c r="A11" s="172" t="str">
        <f>INVOICE!A11</f>
        <v>Plot No : S1A &amp; S5 , Sipcot Industrial Park</v>
      </c>
      <c r="B11" s="106"/>
      <c r="C11" s="106"/>
      <c r="D11" s="106"/>
      <c r="E11" s="107"/>
      <c r="F11" s="12"/>
      <c r="G11" s="12"/>
      <c r="H11" s="12"/>
      <c r="I11" s="52"/>
    </row>
    <row r="12" spans="1:9" s="1" customFormat="1" ht="20" customHeight="1" x14ac:dyDescent="0.25">
      <c r="A12" s="172" t="str">
        <f>INVOICE!A12</f>
        <v>Vengadu Village , Pillaipakkam Post</v>
      </c>
      <c r="B12" s="106"/>
      <c r="C12" s="106"/>
      <c r="D12" s="106"/>
      <c r="E12" s="107"/>
      <c r="F12" s="12" t="s">
        <v>3</v>
      </c>
      <c r="G12" s="12"/>
      <c r="H12" s="12"/>
      <c r="I12" s="52"/>
    </row>
    <row r="13" spans="1:9" s="1" customFormat="1" ht="20" customHeight="1" x14ac:dyDescent="0.25">
      <c r="A13" s="172" t="str">
        <f>INVOICE!A13</f>
        <v xml:space="preserve">Sriperumbudur Taluk , </v>
      </c>
      <c r="B13" s="106"/>
      <c r="C13" s="106"/>
      <c r="D13" s="106"/>
      <c r="E13" s="107"/>
      <c r="F13" s="12"/>
      <c r="G13" s="12"/>
      <c r="H13" s="12"/>
      <c r="I13" s="52"/>
    </row>
    <row r="14" spans="1:9" s="1" customFormat="1" ht="20" customHeight="1" x14ac:dyDescent="0.25">
      <c r="A14" s="172" t="str">
        <f>INVOICE!A14</f>
        <v>Kachipuram , Tamil Nadu- 602105</v>
      </c>
      <c r="B14" s="106"/>
      <c r="C14" s="106"/>
      <c r="D14" s="106"/>
      <c r="E14" s="107"/>
      <c r="F14" s="12"/>
      <c r="G14" s="12"/>
      <c r="H14" s="12"/>
      <c r="I14" s="52"/>
    </row>
    <row r="15" spans="1:9" s="1" customFormat="1" ht="20" customHeight="1" x14ac:dyDescent="0.25">
      <c r="A15" s="122" t="s">
        <v>54</v>
      </c>
      <c r="B15" s="123"/>
      <c r="C15" s="123"/>
      <c r="D15" s="123"/>
      <c r="E15" s="124"/>
      <c r="F15" s="12"/>
      <c r="G15" s="12"/>
      <c r="H15" s="12"/>
      <c r="I15" s="52"/>
    </row>
    <row r="16" spans="1:9" s="1" customFormat="1" ht="20" customHeight="1" thickBot="1" x14ac:dyDescent="0.3">
      <c r="A16" s="122" t="s">
        <v>42</v>
      </c>
      <c r="B16" s="123"/>
      <c r="C16" s="123"/>
      <c r="D16" s="123"/>
      <c r="E16" s="124"/>
      <c r="F16" s="12"/>
      <c r="G16" s="12"/>
      <c r="H16" s="12"/>
      <c r="I16" s="52"/>
    </row>
    <row r="17" spans="1:9" s="1" customFormat="1" ht="20" customHeight="1" thickTop="1" thickBot="1" x14ac:dyDescent="0.3">
      <c r="A17" s="43" t="s">
        <v>55</v>
      </c>
      <c r="B17" s="44"/>
      <c r="C17" s="44"/>
      <c r="D17" s="45"/>
      <c r="E17" s="46"/>
      <c r="F17" s="5" t="s">
        <v>14</v>
      </c>
      <c r="G17" s="6"/>
      <c r="H17" s="19" t="s">
        <v>25</v>
      </c>
      <c r="I17" s="50"/>
    </row>
    <row r="18" spans="1:9" s="1" customFormat="1" ht="20" customHeight="1" thickTop="1" thickBot="1" x14ac:dyDescent="0.3">
      <c r="A18" s="125">
        <f>INVOICE!A18</f>
        <v>0</v>
      </c>
      <c r="B18" s="126"/>
      <c r="C18" s="126"/>
      <c r="D18" s="126"/>
      <c r="E18" s="127"/>
      <c r="F18" s="128" t="s">
        <v>12</v>
      </c>
      <c r="G18" s="129"/>
      <c r="H18" s="130"/>
      <c r="I18" s="171"/>
    </row>
    <row r="19" spans="1:9" s="1" customFormat="1" ht="20" customHeight="1" thickTop="1" thickBot="1" x14ac:dyDescent="0.3">
      <c r="A19" s="54" t="s">
        <v>4</v>
      </c>
      <c r="B19" s="132" t="s">
        <v>13</v>
      </c>
      <c r="C19" s="132"/>
      <c r="D19" s="132"/>
      <c r="E19" s="21"/>
      <c r="F19" s="20" t="s">
        <v>6</v>
      </c>
      <c r="G19" s="133" t="s">
        <v>27</v>
      </c>
      <c r="H19" s="133"/>
      <c r="I19" s="187"/>
    </row>
    <row r="20" spans="1:9" s="1" customFormat="1" ht="20" customHeight="1" thickTop="1" x14ac:dyDescent="0.25">
      <c r="A20" s="191" t="s">
        <v>7</v>
      </c>
      <c r="B20" s="193" t="s">
        <v>8</v>
      </c>
      <c r="C20" s="138" t="s">
        <v>33</v>
      </c>
      <c r="D20" s="140"/>
      <c r="E20" s="140" t="s">
        <v>34</v>
      </c>
      <c r="F20" s="195" t="s">
        <v>35</v>
      </c>
      <c r="G20" s="145" t="s">
        <v>36</v>
      </c>
      <c r="H20" s="145" t="s">
        <v>37</v>
      </c>
      <c r="I20" s="181" t="s">
        <v>38</v>
      </c>
    </row>
    <row r="21" spans="1:9" s="1" customFormat="1" ht="20" customHeight="1" thickBot="1" x14ac:dyDescent="0.3">
      <c r="A21" s="192"/>
      <c r="B21" s="194"/>
      <c r="C21" s="141"/>
      <c r="D21" s="143"/>
      <c r="E21" s="143"/>
      <c r="F21" s="196"/>
      <c r="G21" s="146"/>
      <c r="H21" s="146"/>
      <c r="I21" s="182"/>
    </row>
    <row r="22" spans="1:9" s="1" customFormat="1" ht="20" customHeight="1" thickTop="1" x14ac:dyDescent="0.25">
      <c r="A22" s="55"/>
      <c r="B22" s="81">
        <v>1</v>
      </c>
      <c r="C22" s="183" t="s">
        <v>53</v>
      </c>
      <c r="D22" s="184"/>
      <c r="E22" s="81" t="s">
        <v>39</v>
      </c>
      <c r="F22" s="82">
        <f>INVOICE!G24</f>
        <v>17578</v>
      </c>
      <c r="G22" s="83">
        <v>5.2</v>
      </c>
      <c r="H22" s="80">
        <f>F22*G22</f>
        <v>91405.6</v>
      </c>
      <c r="I22" s="56"/>
    </row>
    <row r="23" spans="1:9" s="1" customFormat="1" ht="20" customHeight="1" x14ac:dyDescent="0.25">
      <c r="A23" s="55"/>
      <c r="B23" s="78">
        <v>2</v>
      </c>
      <c r="C23" s="200" t="s">
        <v>66</v>
      </c>
      <c r="D23" s="201"/>
      <c r="E23" s="78" t="s">
        <v>39</v>
      </c>
      <c r="F23" s="99">
        <f>SUM(INVOICE!G25:G26)</f>
        <v>9306</v>
      </c>
      <c r="G23" s="100">
        <v>5.2</v>
      </c>
      <c r="H23" s="101">
        <f>F23*G23</f>
        <v>48391.200000000004</v>
      </c>
      <c r="I23" s="102"/>
    </row>
    <row r="24" spans="1:9" s="1" customFormat="1" ht="20" customHeight="1" x14ac:dyDescent="0.25">
      <c r="A24" s="55"/>
      <c r="B24" s="78">
        <v>2</v>
      </c>
      <c r="C24" s="185" t="s">
        <v>40</v>
      </c>
      <c r="D24" s="186"/>
      <c r="E24" s="78" t="s">
        <v>48</v>
      </c>
      <c r="F24" s="99">
        <f>F25*12</f>
        <v>312</v>
      </c>
      <c r="G24" s="100">
        <v>190</v>
      </c>
      <c r="H24" s="79">
        <f>G24*F24</f>
        <v>59280</v>
      </c>
      <c r="I24" s="77"/>
    </row>
    <row r="25" spans="1:9" s="1" customFormat="1" ht="20" customHeight="1" x14ac:dyDescent="0.25">
      <c r="A25" s="57"/>
      <c r="B25" s="78">
        <v>3</v>
      </c>
      <c r="C25" s="197" t="s">
        <v>51</v>
      </c>
      <c r="D25" s="197"/>
      <c r="E25" s="88" t="s">
        <v>52</v>
      </c>
      <c r="F25" s="99">
        <f>(F22+F23)/1034</f>
        <v>26</v>
      </c>
      <c r="G25" s="100">
        <v>850</v>
      </c>
      <c r="H25" s="79">
        <f>G25*F25</f>
        <v>22100</v>
      </c>
      <c r="I25" s="87"/>
    </row>
    <row r="26" spans="1:9" s="1" customFormat="1" ht="20" customHeight="1" x14ac:dyDescent="0.25">
      <c r="A26" s="57"/>
      <c r="B26" s="97">
        <v>4</v>
      </c>
      <c r="C26" s="198" t="s">
        <v>57</v>
      </c>
      <c r="D26" s="199"/>
      <c r="E26" s="97" t="s">
        <v>39</v>
      </c>
      <c r="F26" s="103">
        <v>1</v>
      </c>
      <c r="G26" s="104">
        <v>7200</v>
      </c>
      <c r="H26" s="98">
        <f>G26*F26</f>
        <v>7200</v>
      </c>
      <c r="I26" s="86"/>
    </row>
    <row r="27" spans="1:9" s="1" customFormat="1" ht="20" customHeight="1" thickBot="1" x14ac:dyDescent="0.3">
      <c r="A27" s="57"/>
      <c r="B27" s="188" t="s">
        <v>41</v>
      </c>
      <c r="C27" s="189"/>
      <c r="D27" s="189"/>
      <c r="E27" s="189"/>
      <c r="F27" s="189"/>
      <c r="G27" s="190"/>
      <c r="H27" s="84">
        <f>SUM(H22:H26)</f>
        <v>228376.80000000002</v>
      </c>
      <c r="I27" s="85"/>
    </row>
    <row r="28" spans="1:9" s="1" customFormat="1" ht="44" customHeight="1" thickTop="1" x14ac:dyDescent="0.25">
      <c r="A28" s="202" t="s">
        <v>59</v>
      </c>
      <c r="B28" s="89" t="s">
        <v>60</v>
      </c>
      <c r="C28" s="204" t="s">
        <v>61</v>
      </c>
      <c r="D28" s="205"/>
      <c r="E28" s="206" t="s">
        <v>62</v>
      </c>
      <c r="F28" s="207"/>
      <c r="G28" s="90" t="s">
        <v>63</v>
      </c>
      <c r="H28" s="91" t="s">
        <v>64</v>
      </c>
      <c r="I28" s="92" t="s">
        <v>38</v>
      </c>
    </row>
    <row r="29" spans="1:9" s="1" customFormat="1" ht="20" customHeight="1" x14ac:dyDescent="0.25">
      <c r="A29" s="203"/>
      <c r="B29" s="93">
        <v>1</v>
      </c>
      <c r="C29" s="208" t="s">
        <v>57</v>
      </c>
      <c r="D29" s="209"/>
      <c r="E29" s="210" t="s">
        <v>65</v>
      </c>
      <c r="F29" s="211"/>
      <c r="G29" s="94">
        <f>F26</f>
        <v>1</v>
      </c>
      <c r="H29" s="95">
        <f>H27/1000</f>
        <v>228.37680000000003</v>
      </c>
      <c r="I29" s="96"/>
    </row>
    <row r="30" spans="1:9" s="1" customFormat="1" ht="15" customHeight="1" x14ac:dyDescent="0.25">
      <c r="A30" s="58"/>
      <c r="B30" s="30"/>
      <c r="C30" s="30"/>
      <c r="D30" s="35"/>
      <c r="E30" s="32"/>
      <c r="F30" s="35"/>
      <c r="G30" s="32"/>
      <c r="H30" s="32"/>
      <c r="I30" s="59"/>
    </row>
    <row r="31" spans="1:9" s="1" customFormat="1" ht="15" customHeight="1" x14ac:dyDescent="0.25">
      <c r="A31" s="58"/>
      <c r="B31" s="30"/>
      <c r="C31" s="30"/>
      <c r="D31" s="35"/>
      <c r="E31" s="30"/>
      <c r="F31" s="35"/>
      <c r="G31" s="32"/>
      <c r="H31" s="32"/>
      <c r="I31" s="59"/>
    </row>
    <row r="32" spans="1:9" s="1" customFormat="1" ht="15" customHeight="1" x14ac:dyDescent="0.25">
      <c r="A32" s="58"/>
      <c r="B32" s="30"/>
      <c r="C32" s="30"/>
      <c r="D32" s="35"/>
      <c r="E32" s="30"/>
      <c r="F32" s="32"/>
      <c r="G32" s="32"/>
      <c r="H32" s="32"/>
      <c r="I32" s="59"/>
    </row>
    <row r="33" spans="1:9" s="1" customFormat="1" ht="15" customHeight="1" x14ac:dyDescent="0.25">
      <c r="A33" s="58"/>
      <c r="B33" s="30"/>
      <c r="C33" s="30"/>
      <c r="D33" s="35"/>
      <c r="E33" s="30"/>
      <c r="F33" s="32"/>
      <c r="G33" s="32"/>
      <c r="H33" s="32"/>
      <c r="I33" s="59"/>
    </row>
    <row r="34" spans="1:9" s="1" customFormat="1" ht="15" customHeight="1" thickBot="1" x14ac:dyDescent="0.3">
      <c r="A34" s="58"/>
      <c r="B34" s="30"/>
      <c r="C34" s="30"/>
      <c r="D34" s="35"/>
      <c r="E34" s="30"/>
      <c r="F34" s="36"/>
      <c r="G34" s="36"/>
      <c r="H34" s="36"/>
      <c r="I34" s="59"/>
    </row>
    <row r="35" spans="1:9" s="1" customFormat="1" ht="15" customHeight="1" thickBot="1" x14ac:dyDescent="0.3">
      <c r="A35" s="60"/>
      <c r="B35" s="61"/>
      <c r="C35" s="61"/>
      <c r="D35" s="62"/>
      <c r="E35" s="61"/>
      <c r="F35" s="36"/>
      <c r="G35" s="36"/>
      <c r="H35" s="36"/>
      <c r="I35" s="63"/>
    </row>
    <row r="36" spans="1:9" s="1" customFormat="1" ht="14.5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s="1" customFormat="1" ht="14.5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s="1" customFormat="1" ht="14.5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s="1" customFormat="1" ht="14.5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s="1" customFormat="1" ht="14.5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s="1" customFormat="1" ht="14.5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s="1" customFormat="1" ht="14.5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s="1" customFormat="1" ht="14.5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s="1" customFormat="1" ht="14.5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s="1" customFormat="1" ht="14.5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s="1" customFormat="1" ht="14.5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15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ht="15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ht="15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ht="15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ht="15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ht="15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ht="15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ht="15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ht="15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ht="15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ht="15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ht="15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ht="15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ht="15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ht="15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ht="15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ht="15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ht="15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ht="15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ht="15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ht="15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ht="15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ht="15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ht="15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ht="15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ht="15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ht="15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ht="15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ht="15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ht="15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ht="15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ht="15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ht="15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ht="15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ht="15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ht="15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ht="15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ht="15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ht="15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ht="15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ht="15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ht="15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ht="15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ht="15" x14ac:dyDescent="0.35">
      <c r="A90" s="4"/>
      <c r="B90" s="4"/>
      <c r="C90" s="4"/>
      <c r="D90" s="4"/>
      <c r="E90" s="4"/>
      <c r="F90" s="4"/>
      <c r="G90" s="4"/>
      <c r="H90" s="4"/>
      <c r="I90" s="4"/>
    </row>
  </sheetData>
  <mergeCells count="32">
    <mergeCell ref="A28:A29"/>
    <mergeCell ref="C28:D28"/>
    <mergeCell ref="E28:F28"/>
    <mergeCell ref="C29:D29"/>
    <mergeCell ref="E29:F29"/>
    <mergeCell ref="B27:G27"/>
    <mergeCell ref="A20:A21"/>
    <mergeCell ref="B20:B21"/>
    <mergeCell ref="C20:D21"/>
    <mergeCell ref="E20:E21"/>
    <mergeCell ref="F20:F21"/>
    <mergeCell ref="G20:G21"/>
    <mergeCell ref="C25:D25"/>
    <mergeCell ref="C26:D26"/>
    <mergeCell ref="C23:D23"/>
    <mergeCell ref="B19:D19"/>
    <mergeCell ref="H20:H21"/>
    <mergeCell ref="I20:I21"/>
    <mergeCell ref="C22:D22"/>
    <mergeCell ref="C24:D24"/>
    <mergeCell ref="G19:I19"/>
    <mergeCell ref="A1:I2"/>
    <mergeCell ref="F8:G8"/>
    <mergeCell ref="A10:E10"/>
    <mergeCell ref="A11:E11"/>
    <mergeCell ref="A12:E12"/>
    <mergeCell ref="F18:I18"/>
    <mergeCell ref="A13:E13"/>
    <mergeCell ref="A14:E14"/>
    <mergeCell ref="A15:E15"/>
    <mergeCell ref="A16:E16"/>
    <mergeCell ref="A18:E18"/>
  </mergeCells>
  <phoneticPr fontId="2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</vt:lpstr>
      <vt:lpstr>Packing list</vt:lpstr>
      <vt:lpstr>INVOICE!Print_Area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이진호</dc:creator>
  <cp:lastModifiedBy>김서정</cp:lastModifiedBy>
  <cp:lastPrinted>2026-04-07T00:17:14Z</cp:lastPrinted>
  <dcterms:created xsi:type="dcterms:W3CDTF">2013-10-23T08:04:15Z</dcterms:created>
  <dcterms:modified xsi:type="dcterms:W3CDTF">2026-05-20T01:48:02Z</dcterms:modified>
</cp:coreProperties>
</file>