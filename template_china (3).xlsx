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Packing List" sheetId="2" state="visible" r:id="rId2"/>
  </sheets>
  <definedNames>
    <definedName name="_xlnm.Print_Area" localSheetId="0">'Invoice'!$A$1:$I$46</definedName>
    <definedName name="_xlnm.Print_Area" localSheetId="1">'Packing List'!$B$1:$J$36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_-* #,##0_-;\-* #,##0_-;_-* &quot;-&quot;_-;_-@_-"/>
    <numFmt numFmtId="165" formatCode="_-* #,##0.00_-;\-* #,##0.00_-;_-* &quot;-&quot;_-;_-@_-"/>
    <numFmt numFmtId="166" formatCode="#,##0_ "/>
    <numFmt numFmtId="167" formatCode="_-&quot;₩&quot;* #,##0_-;\-&quot;₩&quot;* #,##0_-;_-&quot;₩&quot;* &quot;-&quot;_-;_-@_-"/>
    <numFmt numFmtId="168" formatCode="0.000"/>
    <numFmt numFmtId="169" formatCode="#,##0.000_ "/>
    <numFmt numFmtId="170" formatCode="#,##0.00_);[Red]\(#,##0.00\)"/>
    <numFmt numFmtId="171" formatCode="#,##0_);[Red]\(#,##0\)"/>
    <numFmt numFmtId="172" formatCode="0.00_ "/>
    <numFmt numFmtId="173" formatCode="#,##0.0_);[Red]\(#,##0.0\)"/>
    <numFmt numFmtId="174" formatCode="#,##0.0_ ;[Red]\-#,##0.0\ "/>
    <numFmt numFmtId="175" formatCode="#,##0.00_ ;[Red]\-#,##0.00\ "/>
  </numFmts>
  <fonts count="14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Garamond"/>
      <family val="1"/>
      <sz val="10"/>
    </font>
    <font>
      <name val="Garamond"/>
      <family val="1"/>
      <sz val="11"/>
    </font>
    <font>
      <name val="굴림"/>
      <charset val="129"/>
      <family val="3"/>
      <b val="1"/>
      <sz val="20"/>
    </font>
    <font>
      <name val="굴림"/>
      <charset val="129"/>
      <family val="3"/>
      <b val="1"/>
      <sz val="10"/>
    </font>
    <font>
      <name val="굴림"/>
      <charset val="129"/>
      <family val="3"/>
      <sz val="10"/>
    </font>
    <font>
      <name val="굴림"/>
      <charset val="129"/>
      <family val="3"/>
      <sz val="11"/>
    </font>
    <font>
      <name val="굴림"/>
      <charset val="129"/>
      <family val="3"/>
      <b val="1"/>
      <sz val="11"/>
    </font>
    <font>
      <name val="굴림"/>
      <charset val="129"/>
      <family val="3"/>
      <b val="1"/>
      <sz val="12"/>
    </font>
    <font>
      <name val="굴림"/>
      <charset val="129"/>
      <family val="3"/>
      <b val="1"/>
      <color theme="1"/>
      <sz val="10"/>
    </font>
    <font>
      <name val="굴림"/>
      <charset val="129"/>
      <family val="3"/>
      <color theme="1"/>
      <sz val="10"/>
    </font>
    <font>
      <name val="맑은 고딕"/>
      <charset val="129"/>
      <family val="3"/>
      <b val="1"/>
      <sz val="10.5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1" fillId="0" borderId="0"/>
    <xf numFmtId="41" fontId="1" fillId="0" borderId="0"/>
    <xf numFmtId="42" fontId="1" fillId="0" borderId="0" applyAlignment="1">
      <alignment vertical="center"/>
    </xf>
    <xf numFmtId="41" fontId="1" fillId="0" borderId="0"/>
    <xf numFmtId="42" fontId="1" fillId="0" borderId="0" applyAlignment="1">
      <alignment vertical="center"/>
    </xf>
    <xf numFmtId="41" fontId="1" fillId="0" borderId="0"/>
    <xf numFmtId="41" fontId="1" fillId="0" borderId="0"/>
  </cellStyleXfs>
  <cellXfs count="2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pivotButton="0" quotePrefix="0" xfId="0"/>
    <xf numFmtId="0" fontId="6" fillId="0" borderId="1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8" applyAlignment="1" pivotButton="0" quotePrefix="0" xfId="0">
      <alignment horizontal="left" vertical="center"/>
    </xf>
    <xf numFmtId="0" fontId="7" fillId="0" borderId="8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0" fontId="6" fillId="0" borderId="12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164" fontId="7" fillId="0" borderId="12" applyAlignment="1" pivotButton="0" quotePrefix="0" xfId="1">
      <alignment vertical="center"/>
    </xf>
    <xf numFmtId="0" fontId="7" fillId="0" borderId="18" applyAlignment="1" pivotButton="0" quotePrefix="0" xfId="1">
      <alignment horizontal="center" vertical="center"/>
    </xf>
    <xf numFmtId="0" fontId="7" fillId="0" borderId="18" applyAlignment="1" pivotButton="0" quotePrefix="0" xfId="0">
      <alignment horizontal="center" vertical="center"/>
    </xf>
    <xf numFmtId="165" fontId="7" fillId="0" borderId="18" applyAlignment="1" pivotButton="0" quotePrefix="0" xfId="1">
      <alignment vertical="center"/>
    </xf>
    <xf numFmtId="164" fontId="7" fillId="0" borderId="18" applyAlignment="1" pivotButton="0" quotePrefix="0" xfId="1">
      <alignment horizontal="center" vertical="center"/>
    </xf>
    <xf numFmtId="0" fontId="6" fillId="0" borderId="18" applyAlignment="1" pivotButton="0" quotePrefix="0" xfId="1">
      <alignment vertical="center" shrinkToFit="1"/>
    </xf>
    <xf numFmtId="0" fontId="7" fillId="0" borderId="18" applyAlignment="1" pivotButton="0" quotePrefix="0" xfId="0">
      <alignment vertical="center"/>
    </xf>
    <xf numFmtId="0" fontId="9" fillId="0" borderId="21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7" fillId="2" borderId="18" applyAlignment="1" pivotButton="0" quotePrefix="0" xfId="0">
      <alignment horizontal="center" vertical="center"/>
    </xf>
    <xf numFmtId="166" fontId="7" fillId="2" borderId="18" applyAlignment="1" pivotButton="0" quotePrefix="0" xfId="0">
      <alignment horizontal="center" vertical="center"/>
    </xf>
    <xf numFmtId="167" fontId="7" fillId="0" borderId="18" applyAlignment="1" pivotButton="0" quotePrefix="1" xfId="2">
      <alignment horizontal="right" vertical="center"/>
    </xf>
    <xf numFmtId="0" fontId="11" fillId="0" borderId="7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7" fillId="0" borderId="27" applyAlignment="1" pivotButton="0" quotePrefix="0" xfId="0">
      <alignment horizontal="center" vertical="center"/>
    </xf>
    <xf numFmtId="171" fontId="7" fillId="0" borderId="27" applyAlignment="1" pivotButton="0" quotePrefix="0" xfId="0">
      <alignment horizontal="right" vertical="center"/>
    </xf>
    <xf numFmtId="171" fontId="7" fillId="0" borderId="27" applyAlignment="1" pivotButton="0" quotePrefix="0" xfId="1">
      <alignment horizontal="right" vertical="center"/>
    </xf>
    <xf numFmtId="171" fontId="7" fillId="0" borderId="27" applyAlignment="1" pivotButton="0" quotePrefix="0" xfId="1">
      <alignment horizontal="right" vertical="center" wrapText="1" shrinkToFit="1"/>
    </xf>
    <xf numFmtId="0" fontId="0" fillId="0" borderId="27" applyAlignment="1" pivotButton="0" quotePrefix="0" xfId="0">
      <alignment vertical="center"/>
    </xf>
    <xf numFmtId="0" fontId="6" fillId="0" borderId="34" applyAlignment="1" pivotButton="0" quotePrefix="0" xfId="0">
      <alignment vertical="center"/>
    </xf>
    <xf numFmtId="0" fontId="7" fillId="0" borderId="35" applyAlignment="1" pivotButton="0" quotePrefix="0" xfId="0">
      <alignment vertical="center"/>
    </xf>
    <xf numFmtId="0" fontId="7" fillId="0" borderId="36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7" fillId="0" borderId="37" applyAlignment="1" pivotButton="0" quotePrefix="0" xfId="0">
      <alignment vertical="center"/>
    </xf>
    <xf numFmtId="0" fontId="7" fillId="0" borderId="36" applyAlignment="1" pivotButton="0" quotePrefix="0" xfId="0">
      <alignment vertical="center"/>
    </xf>
    <xf numFmtId="0" fontId="7" fillId="0" borderId="33" applyAlignment="1" pivotButton="0" quotePrefix="0" xfId="0">
      <alignment vertical="center"/>
    </xf>
    <xf numFmtId="0" fontId="7" fillId="0" borderId="32" applyAlignment="1" pivotButton="0" quotePrefix="0" xfId="0">
      <alignment vertical="center"/>
    </xf>
    <xf numFmtId="0" fontId="13" fillId="0" borderId="36" pivotButton="0" quotePrefix="0" xfId="0"/>
    <xf numFmtId="0" fontId="6" fillId="0" borderId="0" applyAlignment="1" pivotButton="0" quotePrefix="0" xfId="0">
      <alignment vertical="center"/>
    </xf>
    <xf numFmtId="0" fontId="6" fillId="0" borderId="39" applyAlignment="1" pivotButton="0" quotePrefix="0" xfId="0">
      <alignment vertical="center"/>
    </xf>
    <xf numFmtId="0" fontId="6" fillId="0" borderId="44" applyAlignment="1" pivotButton="0" quotePrefix="0" xfId="0">
      <alignment horizontal="left" vertical="center"/>
    </xf>
    <xf numFmtId="164" fontId="7" fillId="0" borderId="41" applyAlignment="1" pivotButton="0" quotePrefix="0" xfId="1">
      <alignment vertical="center"/>
    </xf>
    <xf numFmtId="0" fontId="6" fillId="0" borderId="36" applyAlignment="1" pivotButton="0" quotePrefix="0" xfId="0">
      <alignment horizontal="center" vertical="center"/>
    </xf>
    <xf numFmtId="165" fontId="7" fillId="0" borderId="45" applyAlignment="1" pivotButton="0" quotePrefix="0" xfId="1">
      <alignment horizontal="center" vertical="center"/>
    </xf>
    <xf numFmtId="165" fontId="7" fillId="0" borderId="45" applyAlignment="1" pivotButton="0" quotePrefix="1" xfId="1">
      <alignment horizontal="right" vertical="center"/>
    </xf>
    <xf numFmtId="172" fontId="7" fillId="0" borderId="45" applyAlignment="1" pivotButton="0" quotePrefix="0" xfId="0">
      <alignment vertical="center"/>
    </xf>
    <xf numFmtId="0" fontId="7" fillId="0" borderId="44" applyAlignment="1" pivotButton="0" quotePrefix="0" xfId="0">
      <alignment horizontal="center" vertical="center"/>
    </xf>
    <xf numFmtId="0" fontId="7" fillId="0" borderId="45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6" fillId="0" borderId="36" applyAlignment="1" pivotButton="0" quotePrefix="0" xfId="0">
      <alignment vertical="center"/>
    </xf>
    <xf numFmtId="0" fontId="8" fillId="0" borderId="0" applyAlignment="1" pivotButton="0" quotePrefix="0" xfId="0">
      <alignment vertical="center" shrinkToFit="1"/>
    </xf>
    <xf numFmtId="0" fontId="9" fillId="0" borderId="0" applyAlignment="1" pivotButton="0" quotePrefix="0" xfId="0">
      <alignment vertical="center"/>
    </xf>
    <xf numFmtId="0" fontId="9" fillId="0" borderId="37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6" fillId="0" borderId="46" applyAlignment="1" pivotButton="0" quotePrefix="0" xfId="0">
      <alignment vertical="center"/>
    </xf>
    <xf numFmtId="0" fontId="6" fillId="0" borderId="21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9" fillId="0" borderId="47" applyAlignment="1" pivotButton="0" quotePrefix="0" xfId="0">
      <alignment vertical="center"/>
    </xf>
    <xf numFmtId="0" fontId="7" fillId="0" borderId="38" applyAlignment="1" pivotButton="0" quotePrefix="0" xfId="0">
      <alignment vertical="center"/>
    </xf>
    <xf numFmtId="165" fontId="7" fillId="0" borderId="50" applyAlignment="1" pivotButton="0" quotePrefix="0" xfId="1">
      <alignment horizontal="center" vertical="center"/>
    </xf>
    <xf numFmtId="0" fontId="7" fillId="0" borderId="18" applyAlignment="1" pivotButton="0" quotePrefix="0" xfId="5">
      <alignment horizontal="center" vertical="center"/>
    </xf>
    <xf numFmtId="40" fontId="7" fillId="0" borderId="18" applyAlignment="1" pivotButton="0" quotePrefix="0" xfId="6">
      <alignment vertical="center"/>
    </xf>
    <xf numFmtId="40" fontId="7" fillId="0" borderId="45" applyAlignment="1" pivotButton="0" quotePrefix="0" xfId="5">
      <alignment horizontal="center" vertical="center"/>
    </xf>
    <xf numFmtId="165" fontId="7" fillId="0" borderId="18" applyAlignment="1" pivotButton="0" quotePrefix="0" xfId="5">
      <alignment vertical="center"/>
    </xf>
    <xf numFmtId="165" fontId="7" fillId="0" borderId="45" applyAlignment="1" pivotButton="0" quotePrefix="0" xfId="5">
      <alignment horizontal="center" vertical="center"/>
    </xf>
    <xf numFmtId="173" fontId="7" fillId="0" borderId="27" applyAlignment="1" pivotButton="0" quotePrefix="0" xfId="0">
      <alignment horizontal="right" vertical="center"/>
    </xf>
    <xf numFmtId="173" fontId="7" fillId="2" borderId="27" applyAlignment="1" pivotButton="0" quotePrefix="0" xfId="0">
      <alignment horizontal="right" vertical="center"/>
    </xf>
    <xf numFmtId="171" fontId="7" fillId="0" borderId="28" applyAlignment="1" pivotButton="0" quotePrefix="0" xfId="1">
      <alignment vertical="center"/>
    </xf>
    <xf numFmtId="174" fontId="0" fillId="0" borderId="0" applyAlignment="1" pivotButton="0" quotePrefix="0" xfId="0">
      <alignment vertical="center"/>
    </xf>
    <xf numFmtId="172" fontId="7" fillId="0" borderId="0" applyAlignment="1" pivotButton="0" quotePrefix="0" xfId="0">
      <alignment vertical="center"/>
    </xf>
    <xf numFmtId="40" fontId="0" fillId="0" borderId="0" applyAlignment="1" pivotButton="0" quotePrefix="0" xfId="0">
      <alignment vertical="center"/>
    </xf>
    <xf numFmtId="175" fontId="0" fillId="0" borderId="0" applyAlignment="1" pivotButton="0" quotePrefix="0" xfId="0">
      <alignment vertical="center"/>
    </xf>
    <xf numFmtId="164" fontId="12" fillId="0" borderId="19" applyAlignment="1" pivotButton="0" quotePrefix="0" xfId="1">
      <alignment horizontal="left" vertical="center" shrinkToFit="1"/>
    </xf>
    <xf numFmtId="164" fontId="12" fillId="0" borderId="0" applyAlignment="1" pivotButton="0" quotePrefix="0" xfId="1">
      <alignment horizontal="left" vertical="center" shrinkToFit="1"/>
    </xf>
    <xf numFmtId="164" fontId="12" fillId="0" borderId="20" applyAlignment="1" pivotButton="0" quotePrefix="0" xfId="1">
      <alignment horizontal="left" vertical="center" shrinkToFit="1"/>
    </xf>
    <xf numFmtId="164" fontId="8" fillId="0" borderId="19" applyAlignment="1" pivotButton="0" quotePrefix="0" xfId="1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20" applyAlignment="1" pivotButton="0" quotePrefix="0" xfId="0">
      <alignment horizontal="left" vertical="center" shrinkToFit="1"/>
    </xf>
    <xf numFmtId="0" fontId="10" fillId="0" borderId="39" applyAlignment="1" pivotButton="0" quotePrefix="0" xfId="0">
      <alignment horizontal="center" vertical="center" shrinkToFit="1"/>
    </xf>
    <xf numFmtId="0" fontId="10" fillId="0" borderId="9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164" fontId="7" fillId="0" borderId="19" applyAlignment="1" pivotButton="0" quotePrefix="0" xfId="5">
      <alignment horizontal="left" vertical="center" wrapText="1" shrinkToFit="1"/>
    </xf>
    <xf numFmtId="164" fontId="7" fillId="0" borderId="0" applyAlignment="1" pivotButton="0" quotePrefix="0" xfId="5">
      <alignment horizontal="left" vertical="center" shrinkToFit="1"/>
    </xf>
    <xf numFmtId="164" fontId="7" fillId="0" borderId="20" applyAlignment="1" pivotButton="0" quotePrefix="0" xfId="5">
      <alignment horizontal="left" vertical="center" shrinkToFit="1"/>
    </xf>
    <xf numFmtId="0" fontId="7" fillId="0" borderId="19" applyAlignment="1" pivotButton="0" quotePrefix="0" xfId="5">
      <alignment horizontal="left" vertical="center" shrinkToFit="1"/>
    </xf>
    <xf numFmtId="0" fontId="7" fillId="0" borderId="0" applyAlignment="1" pivotButton="0" quotePrefix="0" xfId="5">
      <alignment horizontal="left" vertical="center" shrinkToFit="1"/>
    </xf>
    <xf numFmtId="0" fontId="7" fillId="0" borderId="20" applyAlignment="1" pivotButton="0" quotePrefix="0" xfId="5">
      <alignment horizontal="left" vertical="center" shrinkToFit="1"/>
    </xf>
    <xf numFmtId="164" fontId="7" fillId="0" borderId="19" applyAlignment="1" pivotButton="0" quotePrefix="0" xfId="1">
      <alignment horizontal="left" vertical="center" shrinkToFit="1"/>
    </xf>
    <xf numFmtId="164" fontId="7" fillId="0" borderId="0" applyAlignment="1" pivotButton="0" quotePrefix="0" xfId="1">
      <alignment horizontal="left" vertical="center" shrinkToFit="1"/>
    </xf>
    <xf numFmtId="164" fontId="7" fillId="0" borderId="20" applyAlignment="1" pivotButton="0" quotePrefix="0" xfId="1">
      <alignment horizontal="left" vertical="center" shrinkToFit="1"/>
    </xf>
    <xf numFmtId="0" fontId="6" fillId="0" borderId="41" applyAlignment="1" pivotButton="0" quotePrefix="0" xfId="0">
      <alignment horizontal="center" vertical="center" wrapText="1"/>
    </xf>
    <xf numFmtId="0" fontId="6" fillId="0" borderId="43" applyAlignment="1" pivotButton="0" quotePrefix="0" xfId="0">
      <alignment horizontal="center" vertical="center"/>
    </xf>
    <xf numFmtId="0" fontId="7" fillId="2" borderId="36" applyAlignment="1" pivotButton="0" quotePrefix="0" xfId="0">
      <alignment horizontal="left" vertical="center" shrinkToFit="1"/>
    </xf>
    <xf numFmtId="0" fontId="7" fillId="2" borderId="0" applyAlignment="1" pivotButton="0" quotePrefix="0" xfId="0">
      <alignment horizontal="left" vertical="center" shrinkToFit="1"/>
    </xf>
    <xf numFmtId="0" fontId="7" fillId="2" borderId="8" applyAlignment="1" pivotButton="0" quotePrefix="0" xfId="0">
      <alignment horizontal="left" vertical="center" shrinkToFit="1"/>
    </xf>
    <xf numFmtId="0" fontId="6" fillId="0" borderId="10" applyAlignment="1" pivotButton="0" quotePrefix="0" xfId="0">
      <alignment horizontal="left" vertical="center" shrinkToFit="1"/>
    </xf>
    <xf numFmtId="0" fontId="6" fillId="0" borderId="9" applyAlignment="1" pivotButton="0" quotePrefix="0" xfId="0">
      <alignment horizontal="left" vertical="center" shrinkToFit="1"/>
    </xf>
    <xf numFmtId="0" fontId="8" fillId="0" borderId="9" applyAlignment="1" pivotButton="0" quotePrefix="0" xfId="0">
      <alignment horizontal="left" vertical="center" shrinkToFit="1"/>
    </xf>
    <xf numFmtId="0" fontId="8" fillId="0" borderId="38" applyAlignment="1" pivotButton="0" quotePrefix="0" xfId="0">
      <alignment horizontal="left" vertical="center" shrinkToFit="1"/>
    </xf>
    <xf numFmtId="0" fontId="7" fillId="0" borderId="9" applyAlignment="1" pivotButton="0" quotePrefix="0" xfId="0">
      <alignment horizontal="left" vertical="center"/>
    </xf>
    <xf numFmtId="0" fontId="7" fillId="0" borderId="9" applyAlignment="1" pivotButton="0" quotePrefix="0" xfId="0">
      <alignment vertical="center" shrinkToFit="1"/>
    </xf>
    <xf numFmtId="0" fontId="6" fillId="0" borderId="40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shrinkToFit="1"/>
    </xf>
    <xf numFmtId="0" fontId="8" fillId="0" borderId="15" applyAlignment="1" pivotButton="0" quotePrefix="0" xfId="0">
      <alignment horizontal="center" vertical="center" shrinkToFit="1"/>
    </xf>
    <xf numFmtId="0" fontId="9" fillId="0" borderId="13" applyAlignment="1" pivotButton="0" quotePrefix="0" xfId="0">
      <alignment horizontal="center" vertical="center" shrinkToFit="1"/>
    </xf>
    <xf numFmtId="0" fontId="9" fillId="0" borderId="2" applyAlignment="1" pivotButton="0" quotePrefix="0" xfId="0">
      <alignment horizontal="center" vertical="center" shrinkToFit="1"/>
    </xf>
    <xf numFmtId="0" fontId="9" fillId="0" borderId="14" applyAlignment="1" pivotButton="0" quotePrefix="0" xfId="0">
      <alignment horizontal="center" vertical="center" shrinkToFit="1"/>
    </xf>
    <xf numFmtId="0" fontId="9" fillId="0" borderId="16" applyAlignment="1" pivotButton="0" quotePrefix="0" xfId="0">
      <alignment horizontal="center" vertical="center" shrinkToFit="1"/>
    </xf>
    <xf numFmtId="0" fontId="9" fillId="0" borderId="5" applyAlignment="1" pivotButton="0" quotePrefix="0" xfId="0">
      <alignment horizontal="center" vertical="center" shrinkToFit="1"/>
    </xf>
    <xf numFmtId="0" fontId="9" fillId="0" borderId="17" applyAlignment="1" pivotButton="0" quotePrefix="0" xfId="0">
      <alignment horizontal="center" vertical="center" shrinkToFit="1"/>
    </xf>
    <xf numFmtId="0" fontId="6" fillId="0" borderId="12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/>
    </xf>
    <xf numFmtId="0" fontId="7" fillId="2" borderId="36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7" fillId="2" borderId="32" applyAlignment="1" pivotButton="0" quotePrefix="0" xfId="0">
      <alignment horizontal="left" vertical="center"/>
    </xf>
    <xf numFmtId="0" fontId="7" fillId="2" borderId="5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5" fillId="0" borderId="29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7" fillId="0" borderId="4" applyAlignment="1" pivotButton="0" quotePrefix="0" xfId="0">
      <alignment horizontal="left" vertical="center" shrinkToFit="1"/>
    </xf>
    <xf numFmtId="0" fontId="8" fillId="0" borderId="5" applyAlignment="1" pivotButton="0" quotePrefix="0" xfId="0">
      <alignment vertical="center" shrinkToFit="1"/>
    </xf>
    <xf numFmtId="0" fontId="7" fillId="0" borderId="36" applyAlignment="1" pivotButton="0" quotePrefix="0" xfId="0">
      <alignment horizontal="left" vertical="center" wrapText="1" shrinkToFit="1"/>
    </xf>
    <xf numFmtId="0" fontId="7" fillId="0" borderId="0" applyAlignment="1" pivotButton="0" quotePrefix="0" xfId="0">
      <alignment horizontal="left" vertical="center" shrinkToFit="1"/>
    </xf>
    <xf numFmtId="0" fontId="7" fillId="0" borderId="8" applyAlignment="1" pivotButton="0" quotePrefix="0" xfId="0">
      <alignment horizontal="left" vertical="center" shrinkToFit="1"/>
    </xf>
    <xf numFmtId="0" fontId="6" fillId="0" borderId="27" applyAlignment="1" pivotButton="0" quotePrefix="0" xfId="0">
      <alignment horizontal="center" vertical="center" wrapText="1"/>
    </xf>
    <xf numFmtId="0" fontId="6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164" fontId="7" fillId="0" borderId="27" applyAlignment="1" pivotButton="0" quotePrefix="0" xfId="1">
      <alignment horizontal="center" vertical="center" wrapText="1" shrinkToFit="1"/>
    </xf>
    <xf numFmtId="0" fontId="9" fillId="0" borderId="27" applyAlignment="1" pivotButton="0" quotePrefix="0" xfId="0">
      <alignment horizontal="center" vertical="center" shrinkToFit="1"/>
    </xf>
    <xf numFmtId="0" fontId="6" fillId="0" borderId="50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0" fontId="7" fillId="0" borderId="52" applyAlignment="1" pivotButton="0" quotePrefix="0" xfId="0">
      <alignment horizontal="center" vertical="center"/>
    </xf>
    <xf numFmtId="0" fontId="7" fillId="0" borderId="36" applyAlignment="1" pivotButton="0" quotePrefix="0" xfId="0">
      <alignment horizontal="left" vertical="center" shrinkToFit="1"/>
    </xf>
    <xf numFmtId="0" fontId="8" fillId="0" borderId="26" applyAlignment="1" pivotButton="0" quotePrefix="0" xfId="0">
      <alignment horizontal="left" vertical="center" shrinkToFit="1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vertical="center" shrinkToFit="1"/>
    </xf>
    <xf numFmtId="0" fontId="7" fillId="0" borderId="24" applyAlignment="1" pivotButton="0" quotePrefix="0" xfId="0">
      <alignment vertical="center" shrinkToFit="1"/>
    </xf>
    <xf numFmtId="0" fontId="7" fillId="0" borderId="35" applyAlignment="1" pivotButton="0" quotePrefix="0" xfId="0">
      <alignment vertical="center" shrinkToFit="1"/>
    </xf>
    <xf numFmtId="0" fontId="6" fillId="0" borderId="49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 shrinkToFit="1"/>
    </xf>
    <xf numFmtId="0" fontId="8" fillId="0" borderId="27" applyAlignment="1" pivotButton="0" quotePrefix="0" xfId="0">
      <alignment horizontal="center" vertical="center" shrinkToFit="1"/>
    </xf>
    <xf numFmtId="0" fontId="7" fillId="0" borderId="28" applyAlignment="1" pivotButton="0" quotePrefix="0" xfId="1">
      <alignment horizontal="center" vertical="center"/>
    </xf>
    <xf numFmtId="0" fontId="7" fillId="0" borderId="51" applyAlignment="1" pivotButton="0" quotePrefix="0" xfId="1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7" fillId="0" borderId="36" applyAlignment="1" pivotButton="0" quotePrefix="0" xfId="0">
      <alignment vertical="center" wrapText="1" shrinkToFit="1"/>
    </xf>
    <xf numFmtId="0" fontId="7" fillId="0" borderId="0" applyAlignment="1" pivotButton="0" quotePrefix="0" xfId="0">
      <alignment vertical="center" shrinkToFit="1"/>
    </xf>
    <xf numFmtId="0" fontId="7" fillId="0" borderId="8" applyAlignment="1" pivotButton="0" quotePrefix="0" xfId="0">
      <alignment vertical="center" shrinkToFit="1"/>
    </xf>
    <xf numFmtId="0" fontId="5" fillId="0" borderId="53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5" pivotButton="0" quotePrefix="0" xfId="0"/>
    <xf numFmtId="0" fontId="0" fillId="0" borderId="33" pivotButton="0" quotePrefix="0" xfId="0"/>
    <xf numFmtId="0" fontId="7" fillId="0" borderId="54" applyAlignment="1" pivotButton="0" quotePrefix="0" xfId="0">
      <alignment horizontal="left" vertical="center" wrapText="1" shrinkToFit="1"/>
    </xf>
    <xf numFmtId="0" fontId="0" fillId="0" borderId="8" pivotButton="0" quotePrefix="0" xfId="0"/>
    <xf numFmtId="0" fontId="7" fillId="2" borderId="54" applyAlignment="1" pivotButton="0" quotePrefix="0" xfId="0">
      <alignment horizontal="left" vertical="center" shrinkToFit="1"/>
    </xf>
    <xf numFmtId="0" fontId="7" fillId="2" borderId="59" applyAlignment="1" pivotButton="0" quotePrefix="0" xfId="0">
      <alignment horizontal="left" vertical="center"/>
    </xf>
    <xf numFmtId="0" fontId="0" fillId="0" borderId="6" pivotButton="0" quotePrefix="0" xfId="0"/>
    <xf numFmtId="0" fontId="6" fillId="0" borderId="56" applyAlignment="1" pivotButton="0" quotePrefix="0" xfId="0">
      <alignment horizontal="left" vertical="center" shrinkToFit="1"/>
    </xf>
    <xf numFmtId="0" fontId="0" fillId="0" borderId="9" pivotButton="0" quotePrefix="0" xfId="0"/>
    <xf numFmtId="0" fontId="0" fillId="0" borderId="38" pivotButton="0" quotePrefix="0" xfId="0"/>
    <xf numFmtId="0" fontId="6" fillId="0" borderId="57" applyAlignment="1" pivotButton="0" quotePrefix="0" xfId="0">
      <alignment horizontal="center" vertical="center" wrapText="1"/>
    </xf>
    <xf numFmtId="0" fontId="6" fillId="0" borderId="58" applyAlignment="1" pivotButton="0" quotePrefix="0" xfId="0">
      <alignment horizontal="center" vertical="center" shrinkToFit="1"/>
    </xf>
    <xf numFmtId="0" fontId="9" fillId="0" borderId="58" applyAlignment="1" pivotButton="0" quotePrefix="0" xfId="0">
      <alignment horizontal="center" vertical="center" shrinkToFit="1"/>
    </xf>
    <xf numFmtId="0" fontId="0" fillId="0" borderId="2" pivotButton="0" quotePrefix="0" xfId="0"/>
    <xf numFmtId="0" fontId="0" fillId="0" borderId="14" pivotButton="0" quotePrefix="0" xfId="0"/>
    <xf numFmtId="0" fontId="6" fillId="0" borderId="58" applyAlignment="1" pivotButton="0" quotePrefix="0" xfId="0">
      <alignment horizontal="center" vertical="center" wrapText="1"/>
    </xf>
    <xf numFmtId="0" fontId="6" fillId="0" borderId="55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43" pivotButton="0" quotePrefix="0" xfId="0"/>
    <xf numFmtId="164" fontId="7" fillId="0" borderId="12" applyAlignment="1" pivotButton="0" quotePrefix="0" xfId="1">
      <alignment vertical="center"/>
    </xf>
    <xf numFmtId="164" fontId="7" fillId="0" borderId="41" applyAlignment="1" pivotButton="0" quotePrefix="0" xfId="1">
      <alignment vertical="center"/>
    </xf>
    <xf numFmtId="164" fontId="7" fillId="0" borderId="18" applyAlignment="1" pivotButton="0" quotePrefix="0" xfId="5">
      <alignment horizontal="left" vertical="center" wrapText="1" shrinkToFit="1"/>
    </xf>
    <xf numFmtId="0" fontId="0" fillId="0" borderId="20" pivotButton="0" quotePrefix="0" xfId="0"/>
    <xf numFmtId="166" fontId="7" fillId="2" borderId="18" applyAlignment="1" pivotButton="0" quotePrefix="0" xfId="0">
      <alignment horizontal="center" vertical="center"/>
    </xf>
    <xf numFmtId="0" fontId="7" fillId="0" borderId="18" applyAlignment="1" pivotButton="0" quotePrefix="0" xfId="5">
      <alignment horizontal="left" vertical="center" shrinkToFit="1"/>
    </xf>
    <xf numFmtId="165" fontId="7" fillId="0" borderId="18" applyAlignment="1" pivotButton="0" quotePrefix="0" xfId="5">
      <alignment vertical="center"/>
    </xf>
    <xf numFmtId="165" fontId="7" fillId="0" borderId="45" applyAlignment="1" pivotButton="0" quotePrefix="0" xfId="5">
      <alignment horizontal="center" vertical="center"/>
    </xf>
    <xf numFmtId="174" fontId="0" fillId="0" borderId="0" applyAlignment="1" pivotButton="0" quotePrefix="0" xfId="0">
      <alignment vertical="center"/>
    </xf>
    <xf numFmtId="175" fontId="0" fillId="0" borderId="0" applyAlignment="1" pivotButton="0" quotePrefix="0" xfId="0">
      <alignment vertical="center"/>
    </xf>
    <xf numFmtId="170" fontId="0" fillId="0" borderId="0" applyAlignment="1" pivotButton="0" quotePrefix="0" xfId="0">
      <alignment vertical="center"/>
    </xf>
    <xf numFmtId="164" fontId="7" fillId="0" borderId="18" applyAlignment="1" pivotButton="0" quotePrefix="0" xfId="1">
      <alignment horizontal="left" vertical="center" shrinkToFit="1"/>
    </xf>
    <xf numFmtId="167" fontId="7" fillId="0" borderId="18" applyAlignment="1" pivotButton="0" quotePrefix="1" xfId="2">
      <alignment horizontal="right" vertical="center"/>
    </xf>
    <xf numFmtId="165" fontId="7" fillId="0" borderId="45" applyAlignment="1" pivotButton="0" quotePrefix="1" xfId="1">
      <alignment horizontal="right" vertical="center"/>
    </xf>
    <xf numFmtId="164" fontId="12" fillId="0" borderId="18" applyAlignment="1" pivotButton="0" quotePrefix="0" xfId="1">
      <alignment horizontal="left" vertical="center" shrinkToFit="1"/>
    </xf>
    <xf numFmtId="165" fontId="7" fillId="0" borderId="18" applyAlignment="1" pivotButton="0" quotePrefix="0" xfId="1">
      <alignment vertical="center"/>
    </xf>
    <xf numFmtId="165" fontId="7" fillId="0" borderId="45" applyAlignment="1" pivotButton="0" quotePrefix="0" xfId="1">
      <alignment horizontal="center" vertical="center"/>
    </xf>
    <xf numFmtId="164" fontId="7" fillId="0" borderId="18" applyAlignment="1" pivotButton="0" quotePrefix="0" xfId="1">
      <alignment horizontal="center" vertical="center"/>
    </xf>
    <xf numFmtId="172" fontId="7" fillId="0" borderId="0" applyAlignment="1" pivotButton="0" quotePrefix="0" xfId="0">
      <alignment vertical="center"/>
    </xf>
    <xf numFmtId="172" fontId="7" fillId="0" borderId="45" applyAlignment="1" pivotButton="0" quotePrefix="0" xfId="0">
      <alignment vertical="center"/>
    </xf>
    <xf numFmtId="164" fontId="8" fillId="0" borderId="18" applyAlignment="1" pivotButton="0" quotePrefix="0" xfId="1">
      <alignment horizontal="left" vertical="center" shrinkToFit="1"/>
    </xf>
    <xf numFmtId="0" fontId="10" fillId="0" borderId="60" applyAlignment="1" pivotButton="0" quotePrefix="0" xfId="0">
      <alignment horizontal="center" vertical="center" shrinkToFit="1"/>
    </xf>
    <xf numFmtId="168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0" fontId="7" fillId="0" borderId="54" applyAlignment="1" pivotButton="0" quotePrefix="0" xfId="0">
      <alignment vertical="center" wrapText="1" shrinkToFit="1"/>
    </xf>
    <xf numFmtId="0" fontId="7" fillId="0" borderId="54" applyAlignment="1" pivotButton="0" quotePrefix="0" xfId="0">
      <alignment horizontal="left" vertical="center" shrinkToFit="1"/>
    </xf>
    <xf numFmtId="0" fontId="0" fillId="0" borderId="35" pivotButton="0" quotePrefix="0" xfId="0"/>
    <xf numFmtId="0" fontId="0" fillId="0" borderId="64" pivotButton="0" quotePrefix="0" xfId="0"/>
    <xf numFmtId="0" fontId="0" fillId="0" borderId="52" pivotButton="0" quotePrefix="0" xfId="0"/>
    <xf numFmtId="0" fontId="0" fillId="0" borderId="61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62" pivotButton="0" quotePrefix="0" xfId="0"/>
    <xf numFmtId="0" fontId="0" fillId="0" borderId="65" pivotButton="0" quotePrefix="0" xfId="0"/>
    <xf numFmtId="171" fontId="7" fillId="0" borderId="27" applyAlignment="1" pivotButton="0" quotePrefix="0" xfId="0">
      <alignment horizontal="right" vertical="center"/>
    </xf>
    <xf numFmtId="173" fontId="7" fillId="0" borderId="27" applyAlignment="1" pivotButton="0" quotePrefix="0" xfId="0">
      <alignment horizontal="right" vertical="center"/>
    </xf>
    <xf numFmtId="171" fontId="7" fillId="0" borderId="27" applyAlignment="1" pivotButton="0" quotePrefix="0" xfId="1">
      <alignment horizontal="right" vertical="center"/>
    </xf>
    <xf numFmtId="165" fontId="7" fillId="0" borderId="50" applyAlignment="1" pivotButton="0" quotePrefix="0" xfId="1">
      <alignment horizontal="center" vertical="center"/>
    </xf>
    <xf numFmtId="0" fontId="0" fillId="0" borderId="44" pivotButton="0" quotePrefix="0" xfId="0"/>
    <xf numFmtId="164" fontId="7" fillId="0" borderId="27" applyAlignment="1" pivotButton="0" quotePrefix="0" xfId="1">
      <alignment horizontal="center" vertical="center" wrapText="1" shrinkToFit="1"/>
    </xf>
    <xf numFmtId="171" fontId="7" fillId="0" borderId="27" applyAlignment="1" pivotButton="0" quotePrefix="0" xfId="1">
      <alignment horizontal="right" vertical="center" wrapText="1" shrinkToFit="1"/>
    </xf>
    <xf numFmtId="173" fontId="7" fillId="2" borderId="27" applyAlignment="1" pivotButton="0" quotePrefix="0" xfId="0">
      <alignment horizontal="right" vertical="center"/>
    </xf>
    <xf numFmtId="0" fontId="0" fillId="0" borderId="51" pivotButton="0" quotePrefix="0" xfId="0"/>
    <xf numFmtId="171" fontId="7" fillId="0" borderId="28" applyAlignment="1" pivotButton="0" quotePrefix="0" xfId="1">
      <alignment vertical="center"/>
    </xf>
  </cellXfs>
  <cellStyles count="7">
    <cellStyle name="표준" xfId="0" builtinId="0"/>
    <cellStyle name="쉼표 [0]" xfId="1" builtinId="6"/>
    <cellStyle name="통화 [0]" xfId="2" builtinId="7"/>
    <cellStyle name="쉼표 [0] 2" xfId="3"/>
    <cellStyle name="통화 [0] 2" xfId="4"/>
    <cellStyle name="쉼표 [0] 3" xfId="5"/>
    <cellStyle name="쉼표 [0] 2 2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twoCellAnchor editAs="oneCell">
    <from>
      <col>5</col>
      <colOff>165236</colOff>
      <row>40</row>
      <rowOff>26504</rowOff>
    </from>
    <to>
      <col>8</col>
      <colOff>40444</colOff>
      <row>44</row>
      <rowOff>55079</rowOff>
    </to>
    <pic>
      <nvPicPr>
        <cNvPr id="2" name="그림 1" descr="대양전기 영문사인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055121" y="7576019"/>
          <a:ext cx="1967533" cy="79438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6</col>
      <colOff>92765</colOff>
      <row>30</row>
      <rowOff>64051</rowOff>
    </from>
    <to>
      <col>8</col>
      <colOff>705216</colOff>
      <row>34</row>
      <rowOff>94645</rowOff>
    </to>
    <pic>
      <nvPicPr>
        <cNvPr id="2" name="그림 1" descr="대양전기 영문사인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93165" y="7861851"/>
          <a:ext cx="1987226" cy="79066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tabSelected="1" topLeftCell="A19" zoomScale="115" zoomScaleNormal="115" zoomScaleSheetLayoutView="100" workbookViewId="0">
      <selection activeCell="C33" sqref="C33:F33"/>
    </sheetView>
  </sheetViews>
  <sheetFormatPr baseColWidth="8" defaultRowHeight="14.4"/>
  <cols>
    <col width="9.3984375" customWidth="1" min="1" max="1"/>
    <col width="4.69921875" customWidth="1" min="2" max="2"/>
    <col width="8.69921875" customWidth="1" min="4" max="4"/>
    <col width="11.3984375" customWidth="1" min="5" max="5"/>
    <col width="10.3984375" customWidth="1" min="6" max="6"/>
    <col width="8.69921875" customWidth="1" min="7" max="7"/>
    <col width="8.3984375" customWidth="1" min="8" max="8"/>
    <col width="9.69921875" customWidth="1" min="9" max="9"/>
    <col width="10.8984375" bestFit="1" customWidth="1" min="10" max="10"/>
    <col width="10.3984375" bestFit="1" customWidth="1" min="11" max="11"/>
    <col width="11.296875" bestFit="1" customWidth="1" min="12" max="12"/>
    <col width="17.19921875" customWidth="1" min="13" max="13"/>
    <col width="12.3984375" customWidth="1" min="16" max="16"/>
  </cols>
  <sheetData>
    <row r="1" ht="15" customFormat="1" customHeight="1" s="1">
      <c r="A1" s="173" t="inlineStr">
        <is>
          <t>COMMERCIAL INVOICE</t>
        </is>
      </c>
      <c r="B1" s="174" t="n"/>
      <c r="C1" s="174" t="n"/>
      <c r="D1" s="174" t="n"/>
      <c r="E1" s="174" t="n"/>
      <c r="F1" s="174" t="n"/>
      <c r="G1" s="174" t="n"/>
      <c r="H1" s="174" t="n"/>
      <c r="I1" s="175" t="n"/>
    </row>
    <row r="2" ht="15" customFormat="1" customHeight="1" s="1" thickBot="1">
      <c r="A2" s="176" t="n"/>
      <c r="B2" s="177" t="n"/>
      <c r="C2" s="177" t="n"/>
      <c r="D2" s="177" t="n"/>
      <c r="E2" s="177" t="n"/>
      <c r="F2" s="177" t="n"/>
      <c r="G2" s="177" t="n"/>
      <c r="H2" s="177" t="n"/>
      <c r="I2" s="178" t="n"/>
    </row>
    <row r="3" ht="17.1" customFormat="1" customHeight="1" s="1" thickTop="1">
      <c r="A3" s="43" t="inlineStr">
        <is>
          <t>SELLER/MANUFACTURER</t>
        </is>
      </c>
      <c r="B3" s="6" t="n"/>
      <c r="C3" s="6" t="n"/>
      <c r="D3" s="6" t="n"/>
      <c r="E3" s="6" t="n"/>
      <c r="F3" s="5" t="inlineStr">
        <is>
          <t>INVOICE NO : TS-260119-01</t>
        </is>
      </c>
      <c r="G3" s="6" t="n"/>
      <c r="H3" s="6" t="n"/>
      <c r="I3" s="44" t="n"/>
    </row>
    <row r="4" ht="17.1" customFormat="1" customHeight="1" s="1" thickBot="1">
      <c r="A4" s="45" t="inlineStr">
        <is>
          <t>DAEYANG ELECTRIC CO LTD</t>
        </is>
      </c>
      <c r="B4" s="46" t="n"/>
      <c r="C4" s="46" t="n"/>
      <c r="D4" s="46" t="n"/>
      <c r="E4" s="8" t="n"/>
      <c r="F4" s="31" t="inlineStr">
        <is>
          <t>INVOICE DATE : 19th.Jan.2026</t>
        </is>
      </c>
      <c r="G4" s="47" t="n"/>
      <c r="H4" s="47" t="n"/>
      <c r="I4" s="48" t="n"/>
    </row>
    <row r="5" ht="17.1" customFormat="1" customHeight="1" s="1" thickTop="1">
      <c r="A5" s="49" t="inlineStr">
        <is>
          <t xml:space="preserve">16 Venture-ro 100beon-gil, Yeonsu-gu, </t>
        </is>
      </c>
      <c r="B5" s="47" t="n"/>
      <c r="C5" s="47" t="n"/>
      <c r="D5" s="47" t="n"/>
      <c r="E5" s="47" t="n"/>
      <c r="F5" s="5" t="inlineStr">
        <is>
          <t>L/C NO.  &amp;  DATE</t>
        </is>
      </c>
      <c r="G5" s="6" t="n"/>
      <c r="H5" s="6" t="n"/>
      <c r="I5" s="44" t="n"/>
    </row>
    <row r="6" ht="17.1" customFormat="1" customHeight="1" s="1" thickBot="1">
      <c r="A6" s="49" t="inlineStr">
        <is>
          <t>Incheon, SOUTH KOREA. (22013)</t>
        </is>
      </c>
      <c r="B6" s="47" t="n"/>
      <c r="C6" s="47" t="n"/>
      <c r="D6" s="47" t="n"/>
      <c r="E6" s="47" t="n"/>
      <c r="F6" s="10" t="n"/>
      <c r="G6" s="11" t="n"/>
      <c r="H6" s="11" t="n"/>
      <c r="I6" s="50" t="n"/>
    </row>
    <row r="7" ht="17.1" customFormat="1" customHeight="1" s="1" thickTop="1">
      <c r="A7" s="49" t="inlineStr">
        <is>
          <t>TEL: +82 32 830 5520</t>
        </is>
      </c>
      <c r="B7" s="47" t="n"/>
      <c r="C7" s="47" t="n"/>
      <c r="D7" s="47" t="n"/>
      <c r="E7" s="47" t="n"/>
      <c r="F7" s="13" t="inlineStr">
        <is>
          <t>P/O NO.  &amp;  DATE</t>
        </is>
      </c>
      <c r="G7" s="47" t="n"/>
      <c r="H7" s="47" t="n"/>
      <c r="I7" s="48" t="n"/>
    </row>
    <row r="8" ht="17.1" customFormat="1" customHeight="1" s="1" thickBot="1">
      <c r="A8" s="51" t="inlineStr">
        <is>
          <t>FAX: +82 32 830 5509</t>
        </is>
      </c>
      <c r="B8" s="11" t="n"/>
      <c r="C8" s="11" t="n"/>
      <c r="D8" s="11" t="n"/>
      <c r="E8" s="12" t="n"/>
      <c r="F8" s="142" t="n"/>
      <c r="G8" s="177" t="n"/>
      <c r="H8" s="11" t="n"/>
      <c r="I8" s="50" t="n"/>
    </row>
    <row r="9" ht="16.5" customFormat="1" customHeight="1" s="1" thickTop="1">
      <c r="A9" s="43" t="inlineStr">
        <is>
          <t>CONSIGNEE</t>
        </is>
      </c>
      <c r="B9" s="6" t="n"/>
      <c r="C9" s="6" t="n"/>
      <c r="D9" s="6" t="n"/>
      <c r="E9" s="7" t="n"/>
      <c r="F9" s="14" t="inlineStr">
        <is>
          <t>BUYER(NOTIFY PARTY)</t>
        </is>
      </c>
      <c r="G9" s="47" t="n"/>
      <c r="H9" s="47" t="n"/>
      <c r="I9" s="48" t="n"/>
    </row>
    <row r="10" ht="16.5" customFormat="1" customHeight="1" s="1">
      <c r="A10" s="52" t="inlineStr">
        <is>
          <t>HL Mando (Suzhou) Automotive System Co., Ltd.</t>
        </is>
      </c>
      <c r="B10" s="47" t="n"/>
      <c r="C10" s="47" t="n"/>
      <c r="D10" s="47" t="n"/>
      <c r="E10" s="9" t="n"/>
      <c r="F10" s="53" t="n"/>
      <c r="G10" s="47" t="n"/>
      <c r="H10" s="47" t="n"/>
      <c r="I10" s="48" t="n"/>
    </row>
    <row r="11" ht="16.5" customFormat="1" customHeight="1" s="1">
      <c r="A11" s="179" t="inlineStr">
        <is>
          <t xml:space="preserve">No.328 Mayun Road </t>
        </is>
      </c>
      <c r="E11" s="180" t="n"/>
      <c r="F11" s="47" t="n"/>
      <c r="G11" s="47" t="n"/>
      <c r="H11" s="47" t="n"/>
      <c r="I11" s="48" t="n"/>
    </row>
    <row r="12" ht="16.5" customFormat="1" customHeight="1" s="1">
      <c r="A12" s="179" t="inlineStr">
        <is>
          <t>Suzhou New District, Jiangsu P.R.China, 215000</t>
        </is>
      </c>
      <c r="E12" s="180" t="n"/>
      <c r="F12" s="47" t="n"/>
      <c r="G12" s="47" t="n"/>
      <c r="H12" s="47" t="n"/>
      <c r="I12" s="48" t="n"/>
    </row>
    <row r="13" ht="16.5" customFormat="1" customHeight="1" s="1">
      <c r="A13" s="179" t="n"/>
      <c r="E13" s="180" t="n"/>
      <c r="F13" s="47" t="inlineStr">
        <is>
          <t>SAME AS CONSIGNEE</t>
        </is>
      </c>
      <c r="G13" s="47" t="n"/>
      <c r="H13" s="47" t="n"/>
      <c r="I13" s="48" t="n"/>
    </row>
    <row r="14" ht="16.5" customFormat="1" customHeight="1" s="1">
      <c r="A14" s="181" t="inlineStr">
        <is>
          <t>PIC: xianglan.liu</t>
        </is>
      </c>
      <c r="E14" s="180" t="n"/>
      <c r="F14" s="47" t="n"/>
      <c r="G14" s="47" t="n"/>
      <c r="H14" s="47" t="n"/>
      <c r="I14" s="48" t="n"/>
    </row>
    <row r="15" ht="16.5" customFormat="1" customHeight="1" s="1" thickBot="1">
      <c r="A15" s="181" t="inlineStr">
        <is>
          <t>TEL:  +86-138-1264-4198</t>
        </is>
      </c>
      <c r="E15" s="180" t="n"/>
      <c r="F15" s="47" t="n"/>
      <c r="G15" s="47" t="n"/>
      <c r="H15" s="47" t="n"/>
      <c r="I15" s="48" t="n"/>
    </row>
    <row r="16" ht="16.5" customFormat="1" customHeight="1" s="1" thickBot="1" thickTop="1">
      <c r="A16" s="182" t="inlineStr">
        <is>
          <t>e-mail : xianglan.liu@hlcompany.com</t>
        </is>
      </c>
      <c r="E16" s="180" t="n"/>
      <c r="F16" s="5" t="inlineStr">
        <is>
          <t>COUNTRY OF ORIGIN</t>
        </is>
      </c>
      <c r="G16" s="6" t="n"/>
      <c r="H16" s="15" t="inlineStr">
        <is>
          <t>KOREA</t>
        </is>
      </c>
      <c r="I16" s="44" t="n"/>
    </row>
    <row r="17" ht="16.5" customFormat="1" customHeight="1" s="1" thickBot="1" thickTop="1">
      <c r="A17" s="176" t="n"/>
      <c r="B17" s="177" t="n"/>
      <c r="C17" s="177" t="n"/>
      <c r="D17" s="177" t="n"/>
      <c r="E17" s="183" t="n"/>
      <c r="F17" s="184" t="inlineStr">
        <is>
          <t>VESSEL / FLIGHT : FLIGHT</t>
        </is>
      </c>
      <c r="G17" s="185" t="n"/>
      <c r="H17" s="185" t="n"/>
      <c r="I17" s="186" t="n"/>
    </row>
    <row r="18" ht="17.1" customFormat="1" customHeight="1" s="1" thickBot="1" thickTop="1">
      <c r="A18" s="54" t="inlineStr">
        <is>
          <t xml:space="preserve">FROM  </t>
        </is>
      </c>
      <c r="B18" s="116" t="inlineStr">
        <is>
          <t>Incheon, KOREA</t>
        </is>
      </c>
      <c r="C18" s="185" t="n"/>
      <c r="D18" s="185" t="n"/>
      <c r="E18" s="16" t="n"/>
      <c r="F18" s="13" t="inlineStr">
        <is>
          <t>TERMS OF DELIVERY  &amp;  PAYMENT</t>
        </is>
      </c>
      <c r="G18" s="47" t="n"/>
      <c r="H18" s="47" t="n"/>
      <c r="I18" s="48" t="n"/>
    </row>
    <row r="19" ht="17.1" customFormat="1" customHeight="1" s="1" thickBot="1" thickTop="1">
      <c r="A19" s="54" t="inlineStr">
        <is>
          <t>TO</t>
        </is>
      </c>
      <c r="B19" s="117" t="inlineStr">
        <is>
          <t>Pudong, China</t>
        </is>
      </c>
      <c r="C19" s="185" t="n"/>
      <c r="D19" s="185" t="n"/>
      <c r="E19" s="16" t="n"/>
      <c r="F19" s="10" t="inlineStr">
        <is>
          <t>DDU</t>
        </is>
      </c>
      <c r="G19" s="11" t="n"/>
      <c r="H19" s="11" t="n"/>
      <c r="I19" s="50" t="n"/>
    </row>
    <row r="20" ht="19.05" customFormat="1" customHeight="1" s="1" thickTop="1">
      <c r="A20" s="187" t="inlineStr">
        <is>
          <t>SHIPPING 
MARKS</t>
        </is>
      </c>
      <c r="B20" s="188" t="inlineStr">
        <is>
          <t>NO</t>
        </is>
      </c>
      <c r="C20" s="189" t="inlineStr">
        <is>
          <t xml:space="preserve">DESCRIPTION OF GOODS AND/OR SERVICE </t>
        </is>
      </c>
      <c r="D20" s="190" t="n"/>
      <c r="E20" s="190" t="n"/>
      <c r="F20" s="191" t="n"/>
      <c r="G20" s="192" t="inlineStr">
        <is>
          <t>Q'TY
(EA)</t>
        </is>
      </c>
      <c r="H20" s="192" t="inlineStr">
        <is>
          <t>U/PRICE
(USD)</t>
        </is>
      </c>
      <c r="I20" s="193" t="inlineStr">
        <is>
          <t>AMOUNT
(USD)</t>
        </is>
      </c>
    </row>
    <row r="21" ht="15" customFormat="1" customHeight="1" s="1" thickBot="1">
      <c r="A21" s="194" t="n"/>
      <c r="B21" s="195" t="n"/>
      <c r="C21" s="196" t="n"/>
      <c r="D21" s="177" t="n"/>
      <c r="E21" s="177" t="n"/>
      <c r="F21" s="197" t="n"/>
      <c r="G21" s="195" t="n"/>
      <c r="H21" s="195" t="n"/>
      <c r="I21" s="198" t="n"/>
    </row>
    <row r="22" ht="15" customFormat="1" customHeight="1" s="1" thickTop="1">
      <c r="A22" s="55" t="n"/>
      <c r="B22" s="17" t="n"/>
      <c r="C22" s="14" t="n"/>
      <c r="D22" s="14" t="n"/>
      <c r="E22" s="14" t="n"/>
      <c r="F22" s="27" t="n"/>
      <c r="G22" s="18" t="n"/>
      <c r="H22" s="199" t="n"/>
      <c r="I22" s="200" t="n"/>
    </row>
    <row r="23" ht="15" customFormat="1" customHeight="1" s="1">
      <c r="A23" s="57" t="n"/>
      <c r="B23" s="77" t="n">
        <v>1</v>
      </c>
      <c r="C23" s="201" t="inlineStr">
        <is>
          <t xml:space="preserve"> Pressure sensor </t>
        </is>
      </c>
      <c r="F23" s="202" t="n"/>
      <c r="G23" s="203" t="n">
        <v>24816</v>
      </c>
      <c r="H23" s="78" t="n">
        <v>5.47</v>
      </c>
      <c r="I23" s="79">
        <f>G23*H23</f>
        <v/>
      </c>
    </row>
    <row r="24" ht="15" customFormat="1" customHeight="1" s="1">
      <c r="A24" s="57" t="n"/>
      <c r="B24" s="77" t="n"/>
      <c r="C24" s="204" t="inlineStr">
        <is>
          <t xml:space="preserve">  (BG6900Z000)</t>
        </is>
      </c>
      <c r="F24" s="202" t="n"/>
      <c r="G24" s="21" t="n"/>
      <c r="H24" s="205" t="n"/>
      <c r="I24" s="79" t="n"/>
    </row>
    <row r="25" ht="15" customFormat="1" customHeight="1" s="1">
      <c r="A25" s="57" t="inlineStr">
        <is>
          <t>AIR</t>
        </is>
      </c>
      <c r="B25" s="77" t="n">
        <v>2</v>
      </c>
      <c r="C25" s="201" t="inlineStr">
        <is>
          <t xml:space="preserve"> Pressure sensor </t>
        </is>
      </c>
      <c r="F25" s="202" t="n"/>
      <c r="G25" s="203" t="n">
        <v>2068</v>
      </c>
      <c r="H25" s="78" t="n">
        <v>4.27</v>
      </c>
      <c r="I25" s="79">
        <f>G25*H25</f>
        <v/>
      </c>
    </row>
    <row r="26" ht="15" customFormat="1" customHeight="1" s="1">
      <c r="A26" s="57" t="n"/>
      <c r="B26" s="77" t="n"/>
      <c r="C26" s="204" t="inlineStr">
        <is>
          <t xml:space="preserve">  (BG69003800)</t>
        </is>
      </c>
      <c r="F26" s="202" t="n"/>
      <c r="G26" s="21" t="n"/>
      <c r="H26" s="205" t="n"/>
      <c r="I26" s="206" t="n"/>
      <c r="K26" s="207" t="n"/>
      <c r="L26" s="208" t="n"/>
    </row>
    <row r="27" ht="15" customFormat="1" customHeight="1" s="1">
      <c r="A27" s="57" t="n"/>
      <c r="B27" s="77" t="n"/>
      <c r="C27" s="201" t="n"/>
      <c r="F27" s="202" t="n"/>
      <c r="G27" s="203" t="n"/>
      <c r="H27" s="78" t="n"/>
      <c r="I27" s="79" t="n"/>
      <c r="J27" s="209" t="n"/>
      <c r="K27" s="209" t="n"/>
      <c r="L27" s="207" t="n"/>
    </row>
    <row r="28" ht="15" customFormat="1" customHeight="1" s="1">
      <c r="A28" s="63" t="n"/>
      <c r="B28" s="77" t="n"/>
      <c r="C28" s="204" t="n"/>
      <c r="F28" s="202" t="n"/>
      <c r="G28" s="21" t="n"/>
      <c r="H28" s="205" t="n"/>
      <c r="I28" s="206" t="n"/>
    </row>
    <row r="29" ht="15" customFormat="1" customHeight="1" s="1">
      <c r="A29" s="57" t="n"/>
      <c r="B29" s="77" t="n"/>
      <c r="C29" s="204" t="n"/>
      <c r="F29" s="202" t="n"/>
      <c r="G29" s="21" t="n"/>
      <c r="H29" s="205" t="n"/>
      <c r="I29" s="206" t="n"/>
      <c r="J29" s="209" t="n"/>
    </row>
    <row r="30" ht="15" customFormat="1" customHeight="1" s="1">
      <c r="A30" s="57" t="n"/>
      <c r="B30" s="20" t="n"/>
      <c r="C30" s="210" t="n"/>
      <c r="F30" s="202" t="n"/>
      <c r="G30" s="28" t="n"/>
      <c r="H30" s="211" t="n"/>
      <c r="I30" s="212" t="n"/>
      <c r="K30" s="87" t="n"/>
    </row>
    <row r="31" ht="15" customFormat="1" customHeight="1" s="1">
      <c r="A31" s="57" t="n"/>
      <c r="B31" s="20" t="n"/>
      <c r="C31" s="213">
        <f>" - Total gross weight : "&amp;TEXT('Packing List'!I28/1000,"0.###")&amp;"kg"</f>
        <v/>
      </c>
      <c r="F31" s="202" t="n"/>
      <c r="G31" s="28" t="n"/>
      <c r="H31" s="214" t="n"/>
      <c r="I31" s="215" t="n"/>
    </row>
    <row r="32" ht="15" customFormat="1" customHeight="1" s="1">
      <c r="A32" s="57" t="n"/>
      <c r="B32" s="20" t="n"/>
      <c r="C32" s="213" t="inlineStr">
        <is>
          <t xml:space="preserve"> - HS code : 9026.20</t>
        </is>
      </c>
      <c r="F32" s="202" t="n"/>
      <c r="G32" s="21" t="n"/>
      <c r="H32" s="214" t="n"/>
      <c r="I32" s="215" t="n"/>
    </row>
    <row r="33" ht="15" customFormat="1" customHeight="1" s="1">
      <c r="A33" s="57" t="n"/>
      <c r="B33" s="216" t="n"/>
      <c r="C33" s="213">
        <f>" - Box amount : "&amp;TEXT('Packing List'!G26,"0")&amp;"EA"</f>
        <v/>
      </c>
      <c r="F33" s="202" t="n"/>
      <c r="G33" s="21" t="n"/>
      <c r="H33" s="217" t="n"/>
      <c r="I33" s="218" t="n"/>
    </row>
    <row r="34" ht="15" customFormat="1" customHeight="1" s="2">
      <c r="A34" s="154" t="n"/>
      <c r="B34" s="24" t="n"/>
      <c r="C34" s="213">
        <f>" - Pallet amount : "&amp;TEXT('Packing List'!G27,"0")&amp;"EA"</f>
        <v/>
      </c>
      <c r="F34" s="202" t="n"/>
      <c r="G34" s="25" t="n"/>
      <c r="H34" s="47" t="n"/>
      <c r="I34" s="62" t="n"/>
    </row>
    <row r="35" ht="15" customFormat="1" customHeight="1" s="2" thickBot="1">
      <c r="A35" s="154" t="n"/>
      <c r="B35" s="24" t="n"/>
      <c r="C35" s="219" t="n"/>
      <c r="F35" s="202" t="n"/>
      <c r="G35" s="25" t="n"/>
      <c r="H35" s="47" t="n"/>
      <c r="I35" s="62" t="n"/>
    </row>
    <row r="36" ht="15" customFormat="1" customHeight="1" s="2" thickBot="1" thickTop="1">
      <c r="A36" s="220">
        <f>"TOTAL AMOUNT : BOX ("&amp;TEXT('Packing List'!G26,"0")&amp;"EA), Pallet ("&amp;TEXT('Packing List'!G27,"0")&amp;"EA)   USD "&amp;TEXT(SUM(I23,I25),"#,##0.00")</f>
        <v/>
      </c>
      <c r="B36" s="185" t="n"/>
      <c r="C36" s="185" t="n"/>
      <c r="D36" s="185" t="n"/>
      <c r="E36" s="185" t="n"/>
      <c r="F36" s="185" t="n"/>
      <c r="G36" s="185" t="n"/>
      <c r="H36" s="185" t="n"/>
      <c r="I36" s="186" t="n"/>
    </row>
    <row r="37" ht="24" customFormat="1" customHeight="1" s="1" thickTop="1">
      <c r="A37" s="63" t="n"/>
      <c r="I37" s="64" t="n"/>
      <c r="M37" s="221" t="n"/>
    </row>
    <row r="38" ht="15" customFormat="1" customHeight="1" s="1">
      <c r="A38" s="65" t="n"/>
      <c r="B38" s="53" t="n"/>
      <c r="C38" s="53" t="n"/>
      <c r="D38" s="66" t="n"/>
      <c r="E38" s="67" t="n"/>
      <c r="F38" s="67" t="n"/>
      <c r="G38" s="67" t="n"/>
      <c r="H38" s="67" t="n"/>
      <c r="I38" s="68" t="n"/>
      <c r="M38" s="222" t="n"/>
    </row>
    <row r="39" ht="15" customFormat="1" customHeight="1" s="1">
      <c r="A39" s="65" t="n"/>
      <c r="B39" s="53" t="n"/>
      <c r="C39" s="53" t="n"/>
      <c r="D39" s="67" t="n"/>
      <c r="E39" s="67" t="n"/>
      <c r="F39" s="67" t="n"/>
      <c r="G39" s="67" t="n"/>
      <c r="H39" s="67" t="n"/>
      <c r="I39" s="68" t="n"/>
      <c r="K39" s="37" t="n"/>
    </row>
    <row r="40" ht="15" customFormat="1" customHeight="1" s="1">
      <c r="A40" s="57" t="n"/>
      <c r="B40" s="67" t="n"/>
      <c r="C40" s="67" t="n"/>
      <c r="D40" s="67" t="n"/>
      <c r="E40" s="67" t="n"/>
      <c r="F40" s="69" t="inlineStr">
        <is>
          <t>SIGNED BY</t>
        </is>
      </c>
      <c r="G40" s="67" t="n"/>
      <c r="H40" s="67" t="n"/>
      <c r="I40" s="68" t="n"/>
    </row>
    <row r="41" ht="15" customFormat="1" customHeight="1" s="1">
      <c r="A41" s="65" t="n"/>
      <c r="B41" s="53" t="n"/>
      <c r="C41" s="53" t="n"/>
      <c r="D41" s="70" t="n"/>
      <c r="E41" s="67" t="n"/>
      <c r="F41" s="70" t="n"/>
      <c r="G41" s="67" t="n"/>
      <c r="H41" s="67" t="n"/>
      <c r="I41" s="68" t="n"/>
    </row>
    <row r="42" ht="15" customFormat="1" customHeight="1" s="1">
      <c r="A42" s="65" t="n"/>
      <c r="B42" s="53" t="n"/>
      <c r="C42" s="53" t="n"/>
      <c r="D42" s="70" t="n"/>
      <c r="E42" s="53" t="n"/>
      <c r="F42" s="70" t="n"/>
      <c r="G42" s="67" t="n"/>
      <c r="H42" s="67" t="n"/>
      <c r="I42" s="68" t="n"/>
    </row>
    <row r="43" ht="15" customFormat="1" customHeight="1" s="1">
      <c r="A43" s="65" t="n"/>
      <c r="B43" s="53" t="n"/>
      <c r="C43" s="53" t="n"/>
      <c r="D43" s="70" t="n"/>
      <c r="E43" s="53" t="n"/>
      <c r="F43" s="67" t="n"/>
      <c r="G43" s="67" t="n"/>
      <c r="H43" s="67" t="n"/>
      <c r="I43" s="68" t="n"/>
    </row>
    <row r="44" ht="15" customFormat="1" customHeight="1" s="1">
      <c r="A44" s="65" t="n"/>
      <c r="B44" s="53" t="n"/>
      <c r="C44" s="53" t="n"/>
      <c r="D44" s="70" t="n"/>
      <c r="E44" s="53" t="n"/>
      <c r="F44" s="67" t="n"/>
      <c r="G44" s="67" t="n"/>
      <c r="H44" s="67" t="n"/>
      <c r="I44" s="68" t="n"/>
    </row>
    <row r="45" ht="15" customFormat="1" customHeight="1" s="1" thickBot="1">
      <c r="A45" s="65" t="n"/>
      <c r="B45" s="53" t="n"/>
      <c r="C45" s="53" t="n"/>
      <c r="D45" s="70" t="n"/>
      <c r="E45" s="53" t="n"/>
      <c r="F45" s="26" t="n"/>
      <c r="G45" s="26" t="n"/>
      <c r="H45" s="26" t="n"/>
      <c r="I45" s="68" t="n"/>
    </row>
    <row r="46" ht="15" customFormat="1" customHeight="1" s="1" thickBot="1">
      <c r="A46" s="71" t="n"/>
      <c r="B46" s="72" t="n"/>
      <c r="C46" s="72" t="n"/>
      <c r="D46" s="73" t="n"/>
      <c r="E46" s="72" t="n"/>
      <c r="F46" s="26" t="n"/>
      <c r="G46" s="26" t="n"/>
      <c r="H46" s="26" t="n"/>
      <c r="I46" s="74" t="n"/>
    </row>
    <row r="47" customFormat="1" s="1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 customFormat="1" s="1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</row>
    <row r="49" customFormat="1" s="1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 customFormat="1" s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customFormat="1" s="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 customFormat="1" s="1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</row>
    <row r="53" customFormat="1" s="1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 customFormat="1" s="1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</row>
    <row r="55" customFormat="1" s="1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 customFormat="1" s="1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</row>
    <row r="57" customFormat="1" s="1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 ht="1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 ht="1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 ht="1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 ht="1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 ht="1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1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 ht="1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1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 ht="1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1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 ht="1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1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 ht="1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1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 ht="1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1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 ht="1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1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 ht="1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1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 ht="1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1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 ht="1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1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 ht="1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1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 ht="1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1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 ht="1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1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 ht="1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 ht="1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 ht="1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 ht="1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 ht="1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 ht="1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 ht="1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 ht="1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 ht="1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 ht="1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 ht="1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 ht="1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 ht="1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 ht="1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</sheetData>
  <mergeCells count="31">
    <mergeCell ref="C23:F23"/>
    <mergeCell ref="A15:E15"/>
    <mergeCell ref="C20:F21"/>
    <mergeCell ref="A11:E11"/>
    <mergeCell ref="C32:F32"/>
    <mergeCell ref="C28:F28"/>
    <mergeCell ref="B19:D19"/>
    <mergeCell ref="C34:F34"/>
    <mergeCell ref="C30:F30"/>
    <mergeCell ref="A1:I2"/>
    <mergeCell ref="C33:F33"/>
    <mergeCell ref="C24:F24"/>
    <mergeCell ref="G20:G21"/>
    <mergeCell ref="F8:G8"/>
    <mergeCell ref="A12:E12"/>
    <mergeCell ref="C35:F35"/>
    <mergeCell ref="C26:F26"/>
    <mergeCell ref="I20:I21"/>
    <mergeCell ref="C29:F29"/>
    <mergeCell ref="A20:A21"/>
    <mergeCell ref="B20:B21"/>
    <mergeCell ref="A14:E14"/>
    <mergeCell ref="C25:F25"/>
    <mergeCell ref="C31:F31"/>
    <mergeCell ref="F17:I17"/>
    <mergeCell ref="A16:E17"/>
    <mergeCell ref="A36:I36"/>
    <mergeCell ref="H20:H21"/>
    <mergeCell ref="B18:D18"/>
    <mergeCell ref="A13:E13"/>
    <mergeCell ref="C27:F27"/>
  </mergeCells>
  <printOptions horizontalCentered="1"/>
  <pageMargins left="0.7086614173228347" right="0.7086614173228347" top="0.9448818897637796" bottom="0.7480314960629921" header="0.3149606299212598" footer="0.3149606299212598"/>
  <pageSetup orientation="portrait" paperSize="9" scale="94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view="pageBreakPreview" topLeftCell="A9" zoomScaleNormal="85" zoomScaleSheetLayoutView="100" workbookViewId="0">
      <selection activeCell="G23" sqref="G23"/>
    </sheetView>
  </sheetViews>
  <sheetFormatPr baseColWidth="8" defaultRowHeight="14.4"/>
  <cols>
    <col width="2.3984375" customWidth="1" min="1" max="1"/>
    <col width="11.296875" customWidth="1" min="2" max="2"/>
    <col width="4.69921875" customWidth="1" min="3" max="3"/>
    <col width="8.69921875" customWidth="1" min="5" max="5"/>
    <col width="9.69921875" customWidth="1" min="6" max="6"/>
    <col width="10.09765625" customWidth="1" min="7" max="7"/>
    <col width="8" customWidth="1" min="8" max="8"/>
    <col width="9.59765625" customWidth="1" min="9" max="9"/>
    <col width="12.69921875" customWidth="1" min="10" max="10"/>
  </cols>
  <sheetData>
    <row r="1" ht="20.1" customFormat="1" customHeight="1" s="1" thickTop="1">
      <c r="A1" s="33" t="n"/>
      <c r="B1" s="173" t="inlineStr">
        <is>
          <t>PACKING LIST</t>
        </is>
      </c>
      <c r="C1" s="174" t="n"/>
      <c r="D1" s="174" t="n"/>
      <c r="E1" s="174" t="n"/>
      <c r="F1" s="174" t="n"/>
      <c r="G1" s="174" t="n"/>
      <c r="H1" s="174" t="n"/>
      <c r="I1" s="174" t="n"/>
      <c r="J1" s="175" t="n"/>
    </row>
    <row r="2" ht="20.1" customFormat="1" customHeight="1" s="1" thickBot="1">
      <c r="A2" s="32" t="n"/>
      <c r="B2" s="176" t="n"/>
      <c r="C2" s="177" t="n"/>
      <c r="D2" s="177" t="n"/>
      <c r="E2" s="177" t="n"/>
      <c r="F2" s="177" t="n"/>
      <c r="G2" s="177" t="n"/>
      <c r="H2" s="177" t="n"/>
      <c r="I2" s="177" t="n"/>
      <c r="J2" s="178" t="n"/>
    </row>
    <row r="3" ht="20.1" customFormat="1" customHeight="1" s="1" thickTop="1">
      <c r="A3" s="32" t="n"/>
      <c r="B3" s="43" t="inlineStr">
        <is>
          <t>SELLER/MANUFACTURER</t>
        </is>
      </c>
      <c r="C3" s="6" t="n"/>
      <c r="D3" s="6" t="n"/>
      <c r="E3" s="6" t="n"/>
      <c r="F3" s="6" t="n"/>
      <c r="G3" s="5">
        <f>Invoice!F3</f>
        <v/>
      </c>
      <c r="H3" s="6" t="n"/>
      <c r="I3" s="6" t="n"/>
      <c r="J3" s="44" t="n"/>
    </row>
    <row r="4" ht="20.1" customFormat="1" customHeight="1" s="1" thickBot="1">
      <c r="A4" s="32" t="n"/>
      <c r="B4" s="45" t="inlineStr">
        <is>
          <t>DAEYANG ELECTRIC CO LTD</t>
        </is>
      </c>
      <c r="C4" s="46" t="n"/>
      <c r="D4" s="46" t="n"/>
      <c r="E4" s="46" t="n"/>
      <c r="F4" s="8" t="n"/>
      <c r="G4" s="31">
        <f>Invoice!F4</f>
        <v/>
      </c>
      <c r="H4" s="47" t="n"/>
      <c r="I4" s="11" t="n"/>
      <c r="J4" s="48" t="n"/>
    </row>
    <row r="5" ht="20.1" customFormat="1" customHeight="1" s="1" thickTop="1">
      <c r="A5" s="32" t="n"/>
      <c r="B5" s="49" t="inlineStr">
        <is>
          <t xml:space="preserve">16 Venture-ro 100beon-gil, Yeonsu-gu, </t>
        </is>
      </c>
      <c r="C5" s="47" t="n"/>
      <c r="D5" s="47" t="n"/>
      <c r="E5" s="47" t="n"/>
      <c r="F5" s="47" t="n"/>
      <c r="G5" s="5" t="inlineStr">
        <is>
          <t>L/C NO.  &amp;  DATE</t>
        </is>
      </c>
      <c r="H5" s="6" t="n"/>
      <c r="I5" s="6" t="n"/>
      <c r="J5" s="44" t="n"/>
    </row>
    <row r="6" ht="20.1" customFormat="1" customHeight="1" s="1" thickBot="1">
      <c r="A6" s="32" t="n"/>
      <c r="B6" s="49" t="inlineStr">
        <is>
          <t>Incheon, SOUTH KOREA. (22013)</t>
        </is>
      </c>
      <c r="C6" s="47" t="n"/>
      <c r="D6" s="47" t="n"/>
      <c r="E6" s="47" t="n"/>
      <c r="F6" s="47" t="n"/>
      <c r="G6" s="10" t="n"/>
      <c r="H6" s="11" t="n"/>
      <c r="I6" s="11" t="n"/>
      <c r="J6" s="50" t="n"/>
    </row>
    <row r="7" ht="20.1" customFormat="1" customHeight="1" s="1" thickTop="1">
      <c r="A7" s="32" t="n"/>
      <c r="B7" s="49" t="inlineStr">
        <is>
          <t>TEL: +82 32 830 5520</t>
        </is>
      </c>
      <c r="C7" s="47" t="n"/>
      <c r="D7" s="47" t="n"/>
      <c r="E7" s="47" t="n"/>
      <c r="F7" s="47" t="n"/>
      <c r="G7" s="13" t="inlineStr">
        <is>
          <t>P/O NO.  &amp;  DATE</t>
        </is>
      </c>
      <c r="H7" s="47" t="n"/>
      <c r="I7" s="47" t="n"/>
      <c r="J7" s="44" t="n"/>
    </row>
    <row r="8" ht="20.1" customFormat="1" customHeight="1" s="1" thickBot="1">
      <c r="A8" s="32" t="n"/>
      <c r="B8" s="51" t="inlineStr">
        <is>
          <t>FAX: +82 32 830 5509</t>
        </is>
      </c>
      <c r="C8" s="11" t="n"/>
      <c r="D8" s="11" t="n"/>
      <c r="E8" s="11" t="n"/>
      <c r="F8" s="12" t="n"/>
      <c r="G8" s="142" t="n"/>
      <c r="H8" s="177" t="n"/>
      <c r="I8" s="11" t="n"/>
      <c r="J8" s="50" t="n"/>
    </row>
    <row r="9" ht="20.1" customFormat="1" customHeight="1" s="1" thickTop="1">
      <c r="A9" s="32" t="n"/>
      <c r="B9" s="43" t="inlineStr">
        <is>
          <t>CONSIGNEE</t>
        </is>
      </c>
      <c r="C9" s="6" t="n"/>
      <c r="D9" s="6" t="n"/>
      <c r="E9" s="6" t="n"/>
      <c r="F9" s="7" t="n"/>
      <c r="G9" s="14" t="inlineStr">
        <is>
          <t>BUYER(NOTIFY PARTY)</t>
        </is>
      </c>
      <c r="H9" s="47" t="n"/>
      <c r="I9" s="6" t="n"/>
      <c r="J9" s="48" t="n"/>
    </row>
    <row r="10" ht="20.1" customFormat="1" customHeight="1" s="1">
      <c r="A10" s="32" t="n"/>
      <c r="B10" s="52" t="inlineStr">
        <is>
          <t>HL Mando (Suzhou) Automotive System Co., Ltd.</t>
        </is>
      </c>
      <c r="C10" s="47" t="n"/>
      <c r="D10" s="47" t="n"/>
      <c r="E10" s="47" t="n"/>
      <c r="F10" s="9" t="n"/>
      <c r="G10" s="47" t="n"/>
      <c r="H10" s="47" t="n"/>
      <c r="I10" s="47" t="n"/>
      <c r="J10" s="48" t="n"/>
    </row>
    <row r="11" ht="20.1" customFormat="1" customHeight="1" s="1">
      <c r="A11" s="32" t="n"/>
      <c r="B11" s="179" t="inlineStr">
        <is>
          <t xml:space="preserve">No.328 Mayun Road </t>
        </is>
      </c>
      <c r="F11" s="180" t="n"/>
      <c r="G11" s="47" t="n"/>
      <c r="H11" s="47" t="n"/>
      <c r="I11" s="47" t="n"/>
      <c r="J11" s="48" t="n"/>
    </row>
    <row r="12" ht="20.1" customFormat="1" customHeight="1" s="1">
      <c r="A12" s="32" t="inlineStr">
        <is>
          <t>Suzhou New District, Jiangsu P.R.China, 215000</t>
        </is>
      </c>
      <c r="B12" s="223" t="inlineStr">
        <is>
          <t>Suzhou New District, Jiangsu P.R.China, 215000</t>
        </is>
      </c>
      <c r="F12" s="180" t="n"/>
      <c r="G12" s="47" t="inlineStr">
        <is>
          <t>SAME AS CONSIGNEE</t>
        </is>
      </c>
      <c r="H12" s="47" t="n"/>
      <c r="I12" s="47" t="n"/>
      <c r="J12" s="48" t="n"/>
    </row>
    <row r="13" ht="20.1" customFormat="1" customHeight="1" s="1">
      <c r="A13" s="32" t="n"/>
      <c r="B13" s="179" t="n"/>
      <c r="F13" s="180" t="n"/>
      <c r="G13" s="47" t="n"/>
      <c r="H13" s="47" t="n"/>
      <c r="I13" s="47" t="n"/>
      <c r="J13" s="48" t="n"/>
    </row>
    <row r="14" ht="20.1" customFormat="1" customHeight="1" s="1">
      <c r="A14" s="32" t="n"/>
      <c r="B14" s="224" t="n"/>
      <c r="F14" s="180" t="n"/>
      <c r="G14" s="47" t="n"/>
      <c r="H14" s="47" t="n"/>
      <c r="I14" s="47" t="n"/>
      <c r="J14" s="48" t="n"/>
    </row>
    <row r="15" ht="20.1" customFormat="1" customHeight="1" s="1">
      <c r="A15" s="32" t="n"/>
      <c r="B15" s="181" t="inlineStr">
        <is>
          <t>PIC: xianglan.liu</t>
        </is>
      </c>
      <c r="F15" s="180" t="n"/>
      <c r="G15" s="47" t="n"/>
      <c r="H15" s="47" t="n"/>
      <c r="I15" s="47" t="n"/>
      <c r="J15" s="48" t="n"/>
    </row>
    <row r="16" ht="20.1" customFormat="1" customHeight="1" s="1" thickBot="1">
      <c r="A16" s="32" t="n"/>
      <c r="B16" s="181" t="inlineStr">
        <is>
          <t>TEL:  +86-138-1264-4198</t>
        </is>
      </c>
      <c r="F16" s="180" t="n"/>
      <c r="G16" s="47" t="n"/>
      <c r="H16" s="47" t="n"/>
      <c r="I16" s="47" t="n"/>
      <c r="J16" s="50" t="n"/>
    </row>
    <row r="17" ht="20.1" customFormat="1" customHeight="1" s="1" thickBot="1" thickTop="1">
      <c r="A17" s="32" t="n"/>
      <c r="B17" s="182" t="inlineStr">
        <is>
          <t>e-mail : xianglan.liu@hlcompany.com</t>
        </is>
      </c>
      <c r="F17" s="180" t="n"/>
      <c r="G17" s="5" t="inlineStr">
        <is>
          <t>COUNTRY OF ORIGIN</t>
        </is>
      </c>
      <c r="H17" s="6" t="n"/>
      <c r="I17" s="15" t="inlineStr">
        <is>
          <t>KOREA</t>
        </is>
      </c>
      <c r="J17" s="75" t="n"/>
    </row>
    <row r="18" ht="20.1" customFormat="1" customHeight="1" s="1" thickBot="1" thickTop="1">
      <c r="A18" s="32" t="n"/>
      <c r="B18" s="176" t="n"/>
      <c r="C18" s="177" t="n"/>
      <c r="D18" s="177" t="n"/>
      <c r="E18" s="177" t="n"/>
      <c r="F18" s="183" t="n"/>
      <c r="G18" s="184" t="inlineStr">
        <is>
          <t>VESSEL / FLIGHT : FLIGHT</t>
        </is>
      </c>
      <c r="H18" s="185" t="n"/>
      <c r="I18" s="185" t="n"/>
      <c r="J18" s="186" t="n"/>
    </row>
    <row r="19" ht="20.1" customFormat="1" customHeight="1" s="1" thickTop="1">
      <c r="A19" s="32" t="n"/>
      <c r="B19" s="43" t="inlineStr">
        <is>
          <t xml:space="preserve">FROM  </t>
        </is>
      </c>
      <c r="C19" s="158" t="inlineStr">
        <is>
          <t>Incheon, KOREA</t>
        </is>
      </c>
      <c r="D19" s="190" t="n"/>
      <c r="E19" s="190" t="n"/>
      <c r="F19" s="7" t="n"/>
      <c r="G19" s="5" t="inlineStr">
        <is>
          <t>TO</t>
        </is>
      </c>
      <c r="H19" s="161" t="inlineStr">
        <is>
          <t>Pudong, China</t>
        </is>
      </c>
      <c r="I19" s="190" t="n"/>
      <c r="J19" s="225" t="n"/>
    </row>
    <row r="20" ht="20.1" customFormat="1" customHeight="1" s="1">
      <c r="A20" s="32" t="n"/>
      <c r="B20" s="162" t="inlineStr">
        <is>
          <t>SHIPPING 
MARKS</t>
        </is>
      </c>
      <c r="C20" s="164" t="inlineStr">
        <is>
          <t>NO</t>
        </is>
      </c>
      <c r="D20" s="151" t="inlineStr">
        <is>
          <t>Description of Goods</t>
        </is>
      </c>
      <c r="E20" s="226" t="n"/>
      <c r="F20" s="151" t="inlineStr">
        <is>
          <t>Unit</t>
        </is>
      </c>
      <c r="G20" s="151" t="inlineStr">
        <is>
          <t>Quantity</t>
        </is>
      </c>
      <c r="H20" s="147" t="inlineStr">
        <is>
          <t>Net
Weight
(g/ea)</t>
        </is>
      </c>
      <c r="I20" s="147" t="inlineStr">
        <is>
          <t>Gross
Weight
(g)</t>
        </is>
      </c>
      <c r="J20" s="152" t="inlineStr">
        <is>
          <t>Remark</t>
        </is>
      </c>
    </row>
    <row r="21" ht="20.1" customFormat="1" customHeight="1" s="1">
      <c r="A21" s="32" t="n"/>
      <c r="B21" s="227" t="n"/>
      <c r="C21" s="228" t="n"/>
      <c r="D21" s="229" t="n"/>
      <c r="E21" s="230" t="n"/>
      <c r="F21" s="228" t="n"/>
      <c r="G21" s="228" t="n"/>
      <c r="H21" s="228" t="n"/>
      <c r="I21" s="228" t="n"/>
      <c r="J21" s="231" t="n"/>
    </row>
    <row r="22" hidden="1" ht="20.1" customFormat="1" customHeight="1" s="1">
      <c r="A22" s="32" t="n"/>
      <c r="B22" s="154" t="n"/>
      <c r="C22" s="149" t="n">
        <v>2</v>
      </c>
      <c r="D22" s="149" t="inlineStr">
        <is>
          <t>BG69003800</t>
        </is>
      </c>
      <c r="E22" s="232" t="n"/>
      <c r="F22" s="149" t="inlineStr">
        <is>
          <t>ea</t>
        </is>
      </c>
      <c r="G22" s="233" t="n">
        <v>0</v>
      </c>
      <c r="H22" s="234" t="n">
        <v>5.2</v>
      </c>
      <c r="I22" s="235">
        <f>H22*G22</f>
        <v/>
      </c>
      <c r="J22" s="236" t="n"/>
    </row>
    <row r="23" ht="20.1" customFormat="1" customHeight="1" s="1">
      <c r="A23" s="32" t="n"/>
      <c r="B23" s="155" t="n"/>
      <c r="C23" s="149" t="n">
        <v>1</v>
      </c>
      <c r="D23" s="149" t="inlineStr">
        <is>
          <t>BG6900Z000</t>
        </is>
      </c>
      <c r="E23" s="232" t="n"/>
      <c r="F23" s="149" t="inlineStr">
        <is>
          <t>ea</t>
        </is>
      </c>
      <c r="G23" s="233">
        <f>Invoice!G23</f>
        <v/>
      </c>
      <c r="H23" s="234" t="n">
        <v>5.2</v>
      </c>
      <c r="I23" s="235">
        <f>H23*G23</f>
        <v/>
      </c>
      <c r="J23" s="236" t="n"/>
    </row>
    <row r="24" ht="20.1" customFormat="1" customHeight="1" s="1">
      <c r="A24" s="32" t="n"/>
      <c r="B24" s="237" t="n"/>
      <c r="C24" s="149" t="n">
        <v>2</v>
      </c>
      <c r="D24" s="149" t="inlineStr">
        <is>
          <t>BG69003800</t>
        </is>
      </c>
      <c r="E24" s="232" t="n"/>
      <c r="F24" s="149" t="inlineStr">
        <is>
          <t>ea</t>
        </is>
      </c>
      <c r="G24" s="233">
        <f>Invoice!G25</f>
        <v/>
      </c>
      <c r="H24" s="234" t="n">
        <v>5.2</v>
      </c>
      <c r="I24" s="235">
        <f>H24*G24</f>
        <v/>
      </c>
      <c r="J24" s="236" t="n"/>
    </row>
    <row r="25" ht="20.1" customFormat="1" customHeight="1" s="1">
      <c r="A25" s="32" t="n"/>
      <c r="B25" s="237" t="n"/>
      <c r="C25" s="149" t="n">
        <v>3</v>
      </c>
      <c r="D25" s="238" t="inlineStr">
        <is>
          <t>PE Tray</t>
        </is>
      </c>
      <c r="E25" s="232" t="n"/>
      <c r="F25" s="149" t="inlineStr">
        <is>
          <t>ea</t>
        </is>
      </c>
      <c r="G25" s="239">
        <f>G26*12</f>
        <v/>
      </c>
      <c r="H25" s="234" t="n">
        <v>155</v>
      </c>
      <c r="I25" s="235">
        <f>H25*G25</f>
        <v/>
      </c>
      <c r="J25" s="236" t="n"/>
    </row>
    <row r="26" ht="20.1" customFormat="1" customHeight="1" s="1">
      <c r="A26" s="32" t="n"/>
      <c r="B26" s="237" t="n"/>
      <c r="C26" s="149" t="n">
        <v>4</v>
      </c>
      <c r="D26" s="149" t="inlineStr">
        <is>
          <t>Box</t>
        </is>
      </c>
      <c r="E26" s="232" t="n"/>
      <c r="F26" s="149" t="inlineStr">
        <is>
          <t>ea</t>
        </is>
      </c>
      <c r="G26" s="239">
        <f>ROUNDUP((G23+G24)/1034,0)</f>
        <v/>
      </c>
      <c r="H26" s="240" t="n">
        <v>4.52</v>
      </c>
      <c r="I26" s="235">
        <f>H26*G26</f>
        <v/>
      </c>
      <c r="J26" s="236" t="n"/>
      <c r="M26" s="1">
        <f>M23/1034</f>
        <v/>
      </c>
    </row>
    <row r="27" ht="20.1" customFormat="1" customHeight="1" s="1">
      <c r="A27" s="32" t="n"/>
      <c r="B27" s="237" t="n"/>
      <c r="C27" s="149" t="n">
        <v>5</v>
      </c>
      <c r="D27" s="238" t="inlineStr">
        <is>
          <t>Pallet</t>
        </is>
      </c>
      <c r="E27" s="232" t="n"/>
      <c r="F27" s="149" t="inlineStr">
        <is>
          <t>ea</t>
        </is>
      </c>
      <c r="G27" s="239">
        <f>ROUNDUP(G26/27,0)</f>
        <v/>
      </c>
      <c r="H27" s="240" t="n">
        <v>7200</v>
      </c>
      <c r="I27" s="235">
        <f>H27*G27</f>
        <v/>
      </c>
      <c r="J27" s="236" t="n"/>
    </row>
    <row r="28" ht="20.1" customFormat="1" customHeight="1" s="1">
      <c r="A28" s="32" t="n"/>
      <c r="B28" s="227" t="n"/>
      <c r="C28" s="166" t="n"/>
      <c r="D28" s="241" t="n"/>
      <c r="E28" s="241" t="n"/>
      <c r="F28" s="241" t="n"/>
      <c r="G28" s="241" t="n"/>
      <c r="H28" s="241" t="n"/>
      <c r="I28" s="242">
        <f>SUM(I22:I27)</f>
        <v/>
      </c>
      <c r="J28" s="236" t="n"/>
    </row>
    <row r="29" ht="15" customFormat="1" customHeight="1" s="1">
      <c r="A29" s="32" t="n"/>
      <c r="B29" s="65" t="n"/>
      <c r="C29" s="53" t="n"/>
      <c r="D29" s="53" t="n"/>
      <c r="E29" s="66" t="n"/>
      <c r="F29" s="67" t="n"/>
      <c r="G29" s="67" t="n"/>
      <c r="H29" s="67" t="n"/>
      <c r="I29" s="67" t="n"/>
      <c r="J29" s="68" t="n"/>
    </row>
    <row r="30" ht="15" customFormat="1" customHeight="1" s="1">
      <c r="A30" s="32" t="n"/>
      <c r="B30" s="57" t="n"/>
      <c r="C30" s="67" t="n"/>
      <c r="D30" s="67" t="n"/>
      <c r="E30" s="67" t="n"/>
      <c r="F30" s="67" t="n"/>
      <c r="G30" s="69" t="inlineStr">
        <is>
          <t>SIGNED BY</t>
        </is>
      </c>
      <c r="H30" s="67" t="n"/>
      <c r="I30" s="67" t="n"/>
      <c r="J30" s="68" t="n"/>
      <c r="N30" s="42" t="n"/>
    </row>
    <row r="31" ht="15" customFormat="1" customHeight="1" s="1">
      <c r="A31" s="32" t="n"/>
      <c r="B31" s="65" t="n"/>
      <c r="C31" s="53" t="n"/>
      <c r="D31" s="53" t="n"/>
      <c r="E31" s="70" t="n"/>
      <c r="F31" s="67" t="n"/>
      <c r="G31" s="70" t="n"/>
      <c r="H31" s="67" t="n"/>
      <c r="I31" s="67" t="n"/>
      <c r="J31" s="68" t="n"/>
    </row>
    <row r="32" ht="15" customFormat="1" customHeight="1" s="1">
      <c r="A32" s="32" t="n"/>
      <c r="B32" s="65" t="n"/>
      <c r="C32" s="53" t="n"/>
      <c r="D32" s="53" t="n"/>
      <c r="E32" s="70" t="n"/>
      <c r="F32" s="53" t="n"/>
      <c r="G32" s="70" t="n"/>
      <c r="H32" s="67" t="n"/>
      <c r="I32" s="67" t="n"/>
      <c r="J32" s="68" t="n"/>
    </row>
    <row r="33" ht="15" customFormat="1" customHeight="1" s="1">
      <c r="A33" s="32" t="n"/>
      <c r="B33" s="65" t="n"/>
      <c r="C33" s="53" t="n"/>
      <c r="D33" s="53" t="n"/>
      <c r="E33" s="70" t="n"/>
      <c r="F33" s="53" t="n"/>
      <c r="G33" s="67" t="n"/>
      <c r="H33" s="67" t="n"/>
      <c r="I33" s="67" t="n"/>
      <c r="J33" s="68" t="n"/>
    </row>
    <row r="34" customFormat="1" s="1">
      <c r="B34" s="65" t="n"/>
      <c r="C34" s="53" t="n"/>
      <c r="D34" s="53" t="n"/>
      <c r="E34" s="70" t="n"/>
      <c r="F34" s="53" t="n"/>
      <c r="G34" s="67" t="n"/>
      <c r="H34" s="67" t="n"/>
      <c r="I34" s="67" t="n"/>
      <c r="J34" s="68" t="n"/>
    </row>
    <row r="35" ht="15" customFormat="1" customHeight="1" s="1" thickBot="1">
      <c r="B35" s="65" t="n"/>
      <c r="C35" s="53" t="n"/>
      <c r="D35" s="53" t="n"/>
      <c r="E35" s="70" t="n"/>
      <c r="F35" s="53" t="n"/>
      <c r="G35" s="26" t="n"/>
      <c r="H35" s="26" t="n"/>
      <c r="I35" s="26" t="n"/>
      <c r="J35" s="68" t="n"/>
    </row>
    <row r="36" ht="15" customFormat="1" customHeight="1" s="1" thickBot="1">
      <c r="B36" s="71" t="n"/>
      <c r="C36" s="72" t="n"/>
      <c r="D36" s="72" t="n"/>
      <c r="E36" s="73" t="n"/>
      <c r="F36" s="72" t="n"/>
      <c r="G36" s="26" t="n"/>
      <c r="H36" s="26" t="n"/>
      <c r="I36" s="26" t="n"/>
      <c r="J36" s="74" t="n"/>
    </row>
    <row r="37" customFormat="1" s="1"/>
    <row r="38" customFormat="1" s="1"/>
    <row r="39" customFormat="1" s="1"/>
    <row r="40" customFormat="1" s="1"/>
    <row r="41" customFormat="1" s="1"/>
    <row r="42" customFormat="1" s="1"/>
    <row r="43" customFormat="1" s="1"/>
    <row r="44" customFormat="1" s="1"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 ht="15" customHeight="1"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" customHeight="1"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" customHeight="1"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" customHeight="1"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" customHeight="1"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" customHeight="1"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" customHeight="1"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" customHeight="1"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" customHeight="1"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" customHeight="1"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" customHeight="1"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" customHeigh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" customHeight="1"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" customHeight="1"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" customHeight="1"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" customHeight="1"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" customHeight="1"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" customHeight="1"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" customHeight="1"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" customHeight="1"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" customHeight="1"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" customHeight="1"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" customHeight="1"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" customHeight="1"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" customHeight="1"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" customHeight="1"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" customHeight="1"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" customHeight="1"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" customHeight="1"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" customHeight="1"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" customHeight="1"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" customHeight="1"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" customHeight="1"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" customHeight="1"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" customHeight="1"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" customHeight="1"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" customHeight="1"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" customHeight="1"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" customHeight="1"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" customHeight="1"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" customHeight="1"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" customHeight="1"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" customHeight="1"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" customHeight="1"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</sheetData>
  <mergeCells count="28">
    <mergeCell ref="B16:F16"/>
    <mergeCell ref="C20:C21"/>
    <mergeCell ref="D22:E22"/>
    <mergeCell ref="F20:F21"/>
    <mergeCell ref="G8:H8"/>
    <mergeCell ref="B12:F12"/>
    <mergeCell ref="B11:F11"/>
    <mergeCell ref="H19:J19"/>
    <mergeCell ref="D27:E27"/>
    <mergeCell ref="J20:J21"/>
    <mergeCell ref="D20:E21"/>
    <mergeCell ref="B14:F14"/>
    <mergeCell ref="G20:G21"/>
    <mergeCell ref="B13:F13"/>
    <mergeCell ref="B23:B28"/>
    <mergeCell ref="C19:E19"/>
    <mergeCell ref="C28:H28"/>
    <mergeCell ref="I20:I21"/>
    <mergeCell ref="B20:B21"/>
    <mergeCell ref="D25:E25"/>
    <mergeCell ref="G18:J18"/>
    <mergeCell ref="D24:E24"/>
    <mergeCell ref="B1:J2"/>
    <mergeCell ref="B15:F15"/>
    <mergeCell ref="B17:F18"/>
    <mergeCell ref="D23:E23"/>
    <mergeCell ref="H20:H21"/>
    <mergeCell ref="D26:E26"/>
  </mergeCells>
  <printOptions horizontalCentered="1"/>
  <pageMargins left="0.7086614173228347" right="0.7086614173228347" top="0.9448818897637796" bottom="0.7480314960629921" header="0.3149606299212598" footer="0.3149606299212598"/>
  <pageSetup orientation="portrait" paperSize="9" scale="9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이진호</dc:creator>
  <dcterms:created xmlns:dcterms="http://purl.org/dc/terms/" xmlns:xsi="http://www.w3.org/2001/XMLSchema-instance" xsi:type="dcterms:W3CDTF">2013-10-23T08:04:15Z</dcterms:created>
  <dcterms:modified xmlns:dcterms="http://purl.org/dc/terms/" xmlns:xsi="http://www.w3.org/2001/XMLSchema-instance" xsi:type="dcterms:W3CDTF">2026-05-20T03:45:12Z</dcterms:modified>
  <cp:lastModifiedBy>허윤아</cp:lastModifiedBy>
  <cp:lastPrinted>2025-12-17T03:29:20Z</cp:lastPrinted>
</cp:coreProperties>
</file>