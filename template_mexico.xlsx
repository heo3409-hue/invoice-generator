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\\210.223.182.24\센서영업팀\센서영업\00. 영업관리\만도_멕시코\수출\2026\5월\"/>
    </mc:Choice>
  </mc:AlternateContent>
  <xr:revisionPtr revIDLastSave="0" documentId="13_ncr:1_{7DA78EFC-31F5-432C-87B2-A8491A74C3E7}" xr6:coauthVersionLast="47" xr6:coauthVersionMax="47" xr10:uidLastSave="{00000000-0000-0000-0000-000000000000}"/>
  <bookViews>
    <workbookView xWindow="52695" yWindow="0" windowWidth="14610" windowHeight="17385" xr2:uid="{00000000-000D-0000-FFFF-FFFF00000000}"/>
  </bookViews>
  <sheets>
    <sheet name="INVOICE" sheetId="1" r:id="rId1"/>
    <sheet name="Packing list" sheetId="2" r:id="rId2"/>
  </sheets>
  <definedNames>
    <definedName name="_xlnm.Print_Area" localSheetId="1">'Packing list'!$A$1:$I$33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  <c r="F23" i="2"/>
  <c r="F22" i="2"/>
  <c r="H22" i="2" s="1"/>
  <c r="H25" i="2"/>
  <c r="F21" i="2"/>
  <c r="H21" i="2" l="1"/>
  <c r="I24" i="1"/>
  <c r="F4" i="2"/>
  <c r="F3" i="2"/>
  <c r="H24" i="2" l="1"/>
  <c r="I26" i="1"/>
  <c r="A4" i="2" l="1"/>
  <c r="A5" i="2"/>
  <c r="A6" i="2"/>
  <c r="A7" i="2"/>
  <c r="A8" i="2"/>
  <c r="A3" i="2"/>
  <c r="H23" i="2" l="1"/>
  <c r="H26" i="2" s="1"/>
</calcChain>
</file>

<file path=xl/sharedStrings.xml><?xml version="1.0" encoding="utf-8"?>
<sst xmlns="http://schemas.openxmlformats.org/spreadsheetml/2006/main" count="92" uniqueCount="66">
  <si>
    <t>CONSIGNEE</t>
    <phoneticPr fontId="2" type="noConversion"/>
  </si>
  <si>
    <t>BUYER(NOTIFY PARTY)</t>
    <phoneticPr fontId="2" type="noConversion"/>
  </si>
  <si>
    <t>SAME AS CONSIGNEE</t>
    <phoneticPr fontId="2" type="noConversion"/>
  </si>
  <si>
    <t xml:space="preserve">FROM  </t>
    <phoneticPr fontId="2" type="noConversion"/>
  </si>
  <si>
    <t>TERMS OF DELIVERY  &amp;  PAYMENT</t>
    <phoneticPr fontId="2" type="noConversion"/>
  </si>
  <si>
    <t>TO</t>
    <phoneticPr fontId="2" type="noConversion"/>
  </si>
  <si>
    <t>SHIPPING 
MARKS</t>
    <phoneticPr fontId="2" type="noConversion"/>
  </si>
  <si>
    <t>NO</t>
    <phoneticPr fontId="2" type="noConversion"/>
  </si>
  <si>
    <t xml:space="preserve">DESCRIPTION OF GOODS AND/OR SERVICE </t>
    <phoneticPr fontId="2" type="noConversion"/>
  </si>
  <si>
    <t>Q'TY
(EA)</t>
    <phoneticPr fontId="2" type="noConversion"/>
  </si>
  <si>
    <t>SIGNED BY</t>
    <phoneticPr fontId="2" type="noConversion"/>
  </si>
  <si>
    <t>VESSEL / FLIGHT : FLIGHT</t>
    <phoneticPr fontId="2" type="noConversion"/>
  </si>
  <si>
    <t>Incheon, KOREA</t>
    <phoneticPr fontId="2" type="noConversion"/>
  </si>
  <si>
    <t>COUNTRY OF ORIGIN</t>
    <phoneticPr fontId="2" type="noConversion"/>
  </si>
  <si>
    <t>U/PRICE
(USD)</t>
    <phoneticPr fontId="2" type="noConversion"/>
  </si>
  <si>
    <t>AMOUNT
(USD)</t>
    <phoneticPr fontId="2" type="noConversion"/>
  </si>
  <si>
    <t>DAEYANG ELECTRIC CO LTD</t>
    <phoneticPr fontId="2" type="noConversion"/>
  </si>
  <si>
    <t xml:space="preserve">16 Venture-ro 100beon-gil, Yeonsu-gu, </t>
    <phoneticPr fontId="2" type="noConversion"/>
  </si>
  <si>
    <t>TEL: +82 32 830 5520</t>
    <phoneticPr fontId="2" type="noConversion"/>
  </si>
  <si>
    <t>FAX: +82 32 830 5509</t>
    <phoneticPr fontId="2" type="noConversion"/>
  </si>
  <si>
    <t>KOREA</t>
    <phoneticPr fontId="2" type="noConversion"/>
  </si>
  <si>
    <t>Incheon, SOUTH KOREA. (22013)</t>
    <phoneticPr fontId="2" type="noConversion"/>
  </si>
  <si>
    <t>COMMERCIAL INVOICE</t>
    <phoneticPr fontId="2" type="noConversion"/>
  </si>
  <si>
    <t>PACKING LIST</t>
    <phoneticPr fontId="2" type="noConversion"/>
  </si>
  <si>
    <t>Description of Goods</t>
    <phoneticPr fontId="2" type="noConversion"/>
  </si>
  <si>
    <t>Unit</t>
    <phoneticPr fontId="2" type="noConversion"/>
  </si>
  <si>
    <t>Quantity</t>
    <phoneticPr fontId="2" type="noConversion"/>
  </si>
  <si>
    <t>Net
Weight
(g)</t>
    <phoneticPr fontId="2" type="noConversion"/>
  </si>
  <si>
    <t>Gross
Weight
(g)</t>
    <phoneticPr fontId="2" type="noConversion"/>
  </si>
  <si>
    <t>Remark</t>
    <phoneticPr fontId="2" type="noConversion"/>
  </si>
  <si>
    <t>ea</t>
    <phoneticPr fontId="2" type="noConversion"/>
  </si>
  <si>
    <t>PE Tray</t>
    <phoneticPr fontId="2" type="noConversion"/>
  </si>
  <si>
    <t>Total gross weight</t>
    <phoneticPr fontId="2" type="noConversion"/>
  </si>
  <si>
    <t xml:space="preserve"> - HS CODE : 9026.20.1190</t>
    <phoneticPr fontId="2" type="noConversion"/>
  </si>
  <si>
    <t xml:space="preserve"> - PALLET SIZE : 1.2MX1.0MX12cm, 7KG </t>
    <phoneticPr fontId="2" type="noConversion"/>
  </si>
  <si>
    <t>CIF</t>
    <phoneticPr fontId="2" type="noConversion"/>
  </si>
  <si>
    <t>MEXICO</t>
    <phoneticPr fontId="2" type="noConversion"/>
  </si>
  <si>
    <t>Product</t>
    <phoneticPr fontId="2" type="noConversion"/>
  </si>
  <si>
    <t>Pressure sensor</t>
    <phoneticPr fontId="2" type="noConversion"/>
  </si>
  <si>
    <t>Brand</t>
    <phoneticPr fontId="2" type="noConversion"/>
  </si>
  <si>
    <t>Model name</t>
    <phoneticPr fontId="2" type="noConversion"/>
  </si>
  <si>
    <t>Part number</t>
    <phoneticPr fontId="2" type="noConversion"/>
  </si>
  <si>
    <t>THE SEN</t>
    <phoneticPr fontId="2" type="noConversion"/>
  </si>
  <si>
    <t>Category</t>
    <phoneticPr fontId="2" type="noConversion"/>
  </si>
  <si>
    <t>HL MANDO CORPORATION MEXICO SA DE CV</t>
    <phoneticPr fontId="2" type="noConversion"/>
  </si>
  <si>
    <t>BLVD. CAMPESTRE 301, ZONA INDUSTRIAL,</t>
    <phoneticPr fontId="2" type="noConversion"/>
  </si>
  <si>
    <t>ARTEAGA, COAH MEX. C.P. 25350</t>
    <phoneticPr fontId="2" type="noConversion"/>
  </si>
  <si>
    <t>RFC MCM150605IW9</t>
    <phoneticPr fontId="2" type="noConversion"/>
  </si>
  <si>
    <t>VESSEL / FLIGHT : VESSEL</t>
    <phoneticPr fontId="2" type="noConversion"/>
  </si>
  <si>
    <t>Box</t>
    <phoneticPr fontId="2" type="noConversion"/>
  </si>
  <si>
    <t>PIC: DONGWOOK KIM  MOBILE: +52 81 3416 1187</t>
    <phoneticPr fontId="2" type="noConversion"/>
  </si>
  <si>
    <t>EMAIL: KIMDONG.WOOK@HLCOMPANY.COM</t>
    <phoneticPr fontId="2" type="noConversion"/>
  </si>
  <si>
    <t>SM110</t>
    <phoneticPr fontId="2" type="noConversion"/>
  </si>
  <si>
    <t>Pallet</t>
    <phoneticPr fontId="2" type="noConversion"/>
  </si>
  <si>
    <t>BG69003800</t>
    <phoneticPr fontId="2" type="noConversion"/>
  </si>
  <si>
    <t>SM100</t>
    <phoneticPr fontId="2" type="noConversion"/>
  </si>
  <si>
    <t>BG6900Z000</t>
    <phoneticPr fontId="2" type="noConversion"/>
  </si>
  <si>
    <t>SHIPPER/MANUFACTURER</t>
    <phoneticPr fontId="2" type="noConversion"/>
  </si>
  <si>
    <t>SELLER</t>
    <phoneticPr fontId="2" type="noConversion"/>
  </si>
  <si>
    <t>TEL: +82 2 3458 7634</t>
    <phoneticPr fontId="2" type="noConversion"/>
  </si>
  <si>
    <t>245 Jangpyeong-ro, Saha-gu, Busan, 
Republic of Korea (49438)</t>
    <phoneticPr fontId="2" type="noConversion"/>
  </si>
  <si>
    <t xml:space="preserve"> - BOX AMOUNT : 54EA</t>
    <phoneticPr fontId="2" type="noConversion"/>
  </si>
  <si>
    <t xml:space="preserve"> - Total gross weight : 440kg</t>
    <phoneticPr fontId="2" type="noConversion"/>
  </si>
  <si>
    <t>TOTAL AMOUNT : Pallet (2EA), BOX (54EA)   USD 240,797.92</t>
    <phoneticPr fontId="2" type="noConversion"/>
  </si>
  <si>
    <t>INVOICE NO : TS-260504-01</t>
  </si>
  <si>
    <t>INVOICE DATE : 4th.May.2026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</si>
</sst>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0.00_ "/>
    <numFmt numFmtId="165" formatCode="_-* #,##0.00_-;\-* #,##0.00_-;_-* &quot;-&quot;_-;_-@_-"/>
    <numFmt numFmtId="166" formatCode="#,##0_ "/>
    <numFmt numFmtId="167" formatCode="#,##0_);[Red]\(#,##0\)"/>
    <numFmt numFmtId="168" formatCode="\$#,##0.00"/>
    <numFmt numFmtId="169" formatCode="0.0"/>
    <numFmt numFmtId="170" formatCode="0.000"/>
  </numFmts>
  <fonts count="14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Garamond"/>
      <family val="1"/>
    </font>
    <font>
      <sz val="11"/>
      <name val="Garamond"/>
      <family val="1"/>
    </font>
    <font>
      <b/>
      <sz val="20"/>
      <name val="굴림"/>
      <family val="3"/>
      <charset val="129"/>
    </font>
    <font>
      <b/>
      <sz val="10"/>
      <name val="굴림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b/>
      <sz val="11"/>
      <name val="굴림"/>
      <family val="3"/>
      <charset val="129"/>
    </font>
    <font>
      <b/>
      <sz val="12"/>
      <name val="굴림"/>
      <family val="3"/>
      <charset val="129"/>
    </font>
    <font>
      <b/>
      <sz val="10"/>
      <color theme="1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74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41" fontId="7" fillId="0" borderId="12" xfId="1" applyFont="1" applyFill="1" applyBorder="1" applyAlignment="1">
      <alignment vertical="center"/>
    </xf>
    <xf numFmtId="41" fontId="7" fillId="0" borderId="15" xfId="1" applyFont="1" applyFill="1" applyBorder="1" applyAlignment="1">
      <alignment vertical="center"/>
    </xf>
    <xf numFmtId="0" fontId="7" fillId="0" borderId="20" xfId="0" applyFont="1" applyBorder="1" applyAlignment="1">
      <alignment horizontal="center" vertical="center"/>
    </xf>
    <xf numFmtId="165" fontId="7" fillId="0" borderId="20" xfId="1" applyNumberFormat="1" applyFont="1" applyFill="1" applyBorder="1" applyAlignment="1">
      <alignment vertical="center"/>
    </xf>
    <xf numFmtId="165" fontId="7" fillId="0" borderId="23" xfId="1" applyNumberFormat="1" applyFont="1" applyFill="1" applyBorder="1" applyAlignment="1">
      <alignment horizontal="center" vertical="center"/>
    </xf>
    <xf numFmtId="164" fontId="7" fillId="0" borderId="23" xfId="0" applyNumberFormat="1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23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2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165" fontId="7" fillId="0" borderId="23" xfId="1" quotePrefix="1" applyNumberFormat="1" applyFont="1" applyFill="1" applyBorder="1" applyAlignment="1">
      <alignment horizontal="right" vertical="center"/>
    </xf>
    <xf numFmtId="166" fontId="7" fillId="2" borderId="20" xfId="0" applyNumberFormat="1" applyFont="1" applyFill="1" applyBorder="1" applyAlignment="1">
      <alignment horizontal="center" vertical="center"/>
    </xf>
    <xf numFmtId="0" fontId="11" fillId="0" borderId="7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7" fillId="0" borderId="26" xfId="0" applyFont="1" applyBorder="1" applyAlignment="1">
      <alignment vertical="center"/>
    </xf>
    <xf numFmtId="41" fontId="7" fillId="0" borderId="27" xfId="1" applyFont="1" applyBorder="1" applyAlignment="1">
      <alignment horizontal="center" vertical="center" shrinkToFit="1"/>
    </xf>
    <xf numFmtId="166" fontId="7" fillId="2" borderId="27" xfId="0" applyNumberFormat="1" applyFont="1" applyFill="1" applyBorder="1" applyAlignment="1">
      <alignment horizontal="right" vertical="center"/>
    </xf>
    <xf numFmtId="167" fontId="7" fillId="0" borderId="27" xfId="1" applyNumberFormat="1" applyFont="1" applyFill="1" applyBorder="1" applyAlignment="1">
      <alignment horizontal="right" vertical="center"/>
    </xf>
    <xf numFmtId="165" fontId="7" fillId="0" borderId="20" xfId="1" quotePrefix="1" applyNumberFormat="1" applyFont="1" applyFill="1" applyBorder="1" applyAlignment="1">
      <alignment horizontal="right" vertical="center"/>
    </xf>
    <xf numFmtId="0" fontId="7" fillId="0" borderId="27" xfId="0" applyFont="1" applyBorder="1" applyAlignment="1">
      <alignment horizontal="right" vertical="center"/>
    </xf>
    <xf numFmtId="0" fontId="7" fillId="0" borderId="22" xfId="1" applyNumberFormat="1" applyFont="1" applyFill="1" applyBorder="1" applyAlignment="1">
      <alignment horizontal="center" vertical="center"/>
    </xf>
    <xf numFmtId="0" fontId="7" fillId="0" borderId="22" xfId="1" applyNumberFormat="1" applyFont="1" applyBorder="1" applyAlignment="1">
      <alignment horizontal="center" vertical="center"/>
    </xf>
    <xf numFmtId="41" fontId="7" fillId="0" borderId="22" xfId="1" applyFont="1" applyFill="1" applyBorder="1" applyAlignment="1">
      <alignment horizontal="center" vertical="center"/>
    </xf>
    <xf numFmtId="0" fontId="6" fillId="0" borderId="22" xfId="1" applyNumberFormat="1" applyFont="1" applyFill="1" applyBorder="1" applyAlignment="1">
      <alignment vertical="center" shrinkToFit="1"/>
    </xf>
    <xf numFmtId="0" fontId="6" fillId="0" borderId="18" xfId="0" applyFont="1" applyBorder="1" applyAlignment="1">
      <alignment horizontal="left" vertical="center"/>
    </xf>
    <xf numFmtId="168" fontId="6" fillId="0" borderId="23" xfId="1" applyNumberFormat="1" applyFont="1" applyFill="1" applyBorder="1" applyAlignment="1">
      <alignment horizontal="right" vertical="center"/>
    </xf>
    <xf numFmtId="167" fontId="7" fillId="0" borderId="27" xfId="1" applyNumberFormat="1" applyFont="1" applyBorder="1" applyAlignment="1">
      <alignment horizontal="right" vertical="center" wrapText="1" shrinkToFit="1"/>
    </xf>
    <xf numFmtId="167" fontId="7" fillId="0" borderId="27" xfId="1" applyNumberFormat="1" applyFont="1" applyBorder="1" applyAlignment="1">
      <alignment horizontal="right" vertical="center" shrinkToFit="1"/>
    </xf>
    <xf numFmtId="167" fontId="7" fillId="0" borderId="30" xfId="1" applyNumberFormat="1" applyFont="1" applyFill="1" applyBorder="1" applyAlignment="1">
      <alignment vertical="center"/>
    </xf>
    <xf numFmtId="165" fontId="7" fillId="0" borderId="20" xfId="1" applyNumberFormat="1" applyFont="1" applyFill="1" applyBorder="1" applyAlignment="1">
      <alignment horizontal="center" vertical="center"/>
    </xf>
    <xf numFmtId="168" fontId="6" fillId="0" borderId="23" xfId="1" applyNumberFormat="1" applyFont="1" applyFill="1" applyBorder="1" applyAlignment="1">
      <alignment horizontal="center" vertical="center"/>
    </xf>
    <xf numFmtId="0" fontId="7" fillId="0" borderId="27" xfId="1" applyNumberFormat="1" applyFont="1" applyBorder="1" applyAlignment="1">
      <alignment horizontal="center" vertical="center" shrinkToFit="1"/>
    </xf>
    <xf numFmtId="165" fontId="6" fillId="0" borderId="23" xfId="1" applyNumberFormat="1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167" fontId="7" fillId="0" borderId="27" xfId="0" applyNumberFormat="1" applyFont="1" applyBorder="1" applyAlignment="1">
      <alignment horizontal="right" vertical="center"/>
    </xf>
    <xf numFmtId="168" fontId="7" fillId="0" borderId="23" xfId="0" applyNumberFormat="1" applyFont="1" applyBorder="1" applyAlignment="1">
      <alignment vertical="center"/>
    </xf>
    <xf numFmtId="0" fontId="8" fillId="0" borderId="20" xfId="0" applyFont="1" applyBorder="1" applyAlignment="1">
      <alignment horizontal="center" vertical="center" shrinkToFit="1"/>
    </xf>
    <xf numFmtId="169" fontId="7" fillId="2" borderId="20" xfId="0" applyNumberFormat="1" applyFont="1" applyFill="1" applyBorder="1" applyAlignment="1">
      <alignment horizontal="center" vertical="center"/>
    </xf>
    <xf numFmtId="167" fontId="7" fillId="0" borderId="27" xfId="1" applyNumberFormat="1" applyFont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vertical="top"/>
    </xf>
    <xf numFmtId="0" fontId="6" fillId="0" borderId="6" xfId="0" applyFont="1" applyBorder="1" applyAlignment="1">
      <alignment vertical="top"/>
    </xf>
    <xf numFmtId="167" fontId="0" fillId="0" borderId="0" xfId="0" applyNumberFormat="1" applyAlignment="1">
      <alignment vertical="center"/>
    </xf>
    <xf numFmtId="170" fontId="0" fillId="0" borderId="0" xfId="0" applyNumberFormat="1" applyAlignment="1">
      <alignment vertical="center"/>
    </xf>
    <xf numFmtId="0" fontId="7" fillId="0" borderId="7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7" xfId="0" applyFont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 shrinkToFi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7" fillId="0" borderId="37" xfId="1" applyNumberFormat="1" applyFont="1" applyFill="1" applyBorder="1" applyAlignment="1">
      <alignment horizontal="right" vertical="center"/>
    </xf>
    <xf numFmtId="165" fontId="7" fillId="0" borderId="38" xfId="1" applyNumberFormat="1" applyFont="1" applyFill="1" applyBorder="1" applyAlignment="1">
      <alignment horizontal="right" vertical="center"/>
    </xf>
    <xf numFmtId="0" fontId="6" fillId="0" borderId="36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165" fontId="7" fillId="0" borderId="37" xfId="1" applyNumberFormat="1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169" fontId="7" fillId="0" borderId="20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1" xfId="1" applyNumberFormat="1" applyFont="1" applyBorder="1" applyAlignment="1">
      <alignment horizontal="center" vertical="center" shrinkToFit="1"/>
    </xf>
    <xf numFmtId="0" fontId="7" fillId="0" borderId="0" xfId="1" applyNumberFormat="1" applyFont="1" applyBorder="1" applyAlignment="1">
      <alignment horizontal="center" vertical="center" shrinkToFit="1"/>
    </xf>
    <xf numFmtId="0" fontId="7" fillId="0" borderId="22" xfId="1" applyNumberFormat="1" applyFont="1" applyBorder="1" applyAlignment="1">
      <alignment horizontal="center" vertical="center" shrinkToFit="1"/>
    </xf>
    <xf numFmtId="41" fontId="7" fillId="0" borderId="21" xfId="1" applyFont="1" applyBorder="1" applyAlignment="1">
      <alignment horizontal="center" vertical="center" wrapText="1" shrinkToFit="1"/>
    </xf>
    <xf numFmtId="41" fontId="7" fillId="0" borderId="0" xfId="1" applyFont="1" applyBorder="1" applyAlignment="1">
      <alignment horizontal="center" vertical="center" shrinkToFit="1"/>
    </xf>
    <xf numFmtId="41" fontId="7" fillId="0" borderId="22" xfId="1" applyFont="1" applyBorder="1" applyAlignment="1">
      <alignment horizontal="center" vertical="center" shrinkToFit="1"/>
    </xf>
    <xf numFmtId="0" fontId="10" fillId="0" borderId="10" xfId="0" applyFont="1" applyBorder="1" applyAlignment="1">
      <alignment horizontal="center" vertical="center" shrinkToFit="1"/>
    </xf>
    <xf numFmtId="0" fontId="10" fillId="0" borderId="9" xfId="0" applyFont="1" applyBorder="1" applyAlignment="1">
      <alignment vertical="center" shrinkToFit="1"/>
    </xf>
    <xf numFmtId="0" fontId="10" fillId="0" borderId="11" xfId="0" applyFont="1" applyBorder="1" applyAlignment="1">
      <alignment vertical="center" shrinkToFit="1"/>
    </xf>
    <xf numFmtId="41" fontId="12" fillId="0" borderId="21" xfId="1" applyFont="1" applyBorder="1" applyAlignment="1">
      <alignment horizontal="left" vertical="center" shrinkToFit="1"/>
    </xf>
    <xf numFmtId="41" fontId="12" fillId="0" borderId="0" xfId="1" applyFont="1" applyBorder="1" applyAlignment="1">
      <alignment horizontal="left" vertical="center" shrinkToFit="1"/>
    </xf>
    <xf numFmtId="41" fontId="12" fillId="0" borderId="22" xfId="1" applyFont="1" applyBorder="1" applyAlignment="1">
      <alignment horizontal="left" vertical="center" shrinkToFit="1"/>
    </xf>
    <xf numFmtId="41" fontId="7" fillId="0" borderId="21" xfId="1" applyFont="1" applyBorder="1" applyAlignment="1">
      <alignment horizontal="left" vertical="center" shrinkToFit="1"/>
    </xf>
    <xf numFmtId="41" fontId="7" fillId="0" borderId="0" xfId="1" applyFont="1" applyBorder="1" applyAlignment="1">
      <alignment horizontal="left" vertical="center" shrinkToFit="1"/>
    </xf>
    <xf numFmtId="41" fontId="7" fillId="0" borderId="22" xfId="1" applyFont="1" applyBorder="1" applyAlignment="1">
      <alignment horizontal="left" vertical="center" shrinkToFit="1"/>
    </xf>
    <xf numFmtId="41" fontId="7" fillId="0" borderId="21" xfId="1" applyFont="1" applyBorder="1" applyAlignment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22" xfId="0" applyFont="1" applyBorder="1" applyAlignment="1">
      <alignment vertical="center" shrinkToFit="1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 wrapText="1" shrinkToFit="1"/>
    </xf>
    <xf numFmtId="0" fontId="7" fillId="0" borderId="0" xfId="0" applyFont="1" applyAlignment="1">
      <alignment horizontal="left" vertical="center" shrinkToFit="1"/>
    </xf>
    <xf numFmtId="0" fontId="7" fillId="0" borderId="8" xfId="0" applyFont="1" applyBorder="1" applyAlignment="1">
      <alignment horizontal="left" vertical="center" shrinkToFit="1"/>
    </xf>
    <xf numFmtId="0" fontId="7" fillId="0" borderId="7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 shrinkToFit="1"/>
    </xf>
    <xf numFmtId="0" fontId="7" fillId="2" borderId="7" xfId="0" applyFont="1" applyFill="1" applyBorder="1" applyAlignment="1">
      <alignment horizontal="left" vertical="center" shrinkToFit="1"/>
    </xf>
    <xf numFmtId="0" fontId="7" fillId="2" borderId="0" xfId="0" applyFont="1" applyFill="1" applyAlignment="1">
      <alignment horizontal="left" vertical="center" shrinkToFit="1"/>
    </xf>
    <xf numFmtId="0" fontId="7" fillId="2" borderId="8" xfId="0" applyFont="1" applyFill="1" applyBorder="1" applyAlignment="1">
      <alignment horizontal="left" vertical="center" shrinkToFit="1"/>
    </xf>
    <xf numFmtId="0" fontId="6" fillId="0" borderId="10" xfId="0" applyFont="1" applyBorder="1" applyAlignment="1">
      <alignment horizontal="left" vertical="center" shrinkToFit="1"/>
    </xf>
    <xf numFmtId="0" fontId="6" fillId="0" borderId="9" xfId="0" applyFont="1" applyBorder="1" applyAlignment="1">
      <alignment horizontal="left" vertical="center" shrinkToFit="1"/>
    </xf>
    <xf numFmtId="0" fontId="8" fillId="0" borderId="9" xfId="0" applyFont="1" applyBorder="1" applyAlignment="1">
      <alignment horizontal="left" vertical="center" shrinkToFit="1"/>
    </xf>
    <xf numFmtId="0" fontId="8" fillId="0" borderId="11" xfId="0" applyFont="1" applyBorder="1" applyAlignment="1">
      <alignment horizontal="left" vertical="center" shrinkToFit="1"/>
    </xf>
    <xf numFmtId="0" fontId="7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vertical="center" shrinkToFit="1"/>
    </xf>
    <xf numFmtId="0" fontId="9" fillId="0" borderId="13" xfId="0" applyFont="1" applyBorder="1" applyAlignment="1">
      <alignment horizontal="center" vertical="center" shrinkToFit="1"/>
    </xf>
    <xf numFmtId="0" fontId="9" fillId="0" borderId="2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shrinkToFit="1"/>
    </xf>
    <xf numFmtId="0" fontId="9" fillId="0" borderId="17" xfId="0" applyFont="1" applyBorder="1" applyAlignment="1">
      <alignment horizontal="center" vertical="center" shrinkToFit="1"/>
    </xf>
    <xf numFmtId="0" fontId="9" fillId="0" borderId="5" xfId="0" applyFont="1" applyBorder="1" applyAlignment="1">
      <alignment horizontal="center" vertical="center" shrinkToFit="1"/>
    </xf>
    <xf numFmtId="0" fontId="9" fillId="0" borderId="18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7" fillId="2" borderId="7" xfId="0" applyFont="1" applyFill="1" applyBorder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8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/>
    </xf>
    <xf numFmtId="0" fontId="7" fillId="0" borderId="11" xfId="0" applyFont="1" applyBorder="1" applyAlignment="1">
      <alignment vertical="center" shrinkToFit="1"/>
    </xf>
    <xf numFmtId="0" fontId="6" fillId="0" borderId="12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 shrinkToFit="1"/>
    </xf>
    <xf numFmtId="0" fontId="7" fillId="0" borderId="34" xfId="1" applyNumberFormat="1" applyFont="1" applyFill="1" applyBorder="1" applyAlignment="1">
      <alignment horizontal="center" vertical="center"/>
    </xf>
    <xf numFmtId="0" fontId="7" fillId="0" borderId="32" xfId="1" applyNumberFormat="1" applyFont="1" applyFill="1" applyBorder="1" applyAlignment="1">
      <alignment horizontal="center" vertical="center"/>
    </xf>
    <xf numFmtId="0" fontId="7" fillId="0" borderId="33" xfId="1" applyNumberFormat="1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shrinkToFit="1"/>
    </xf>
    <xf numFmtId="0" fontId="9" fillId="0" borderId="16" xfId="0" applyFont="1" applyBorder="1" applyAlignment="1">
      <alignment horizontal="center" vertical="center" shrinkToFit="1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41" fontId="7" fillId="0" borderId="28" xfId="1" applyFont="1" applyBorder="1" applyAlignment="1">
      <alignment horizontal="center" vertical="center" wrapText="1" shrinkToFit="1"/>
    </xf>
    <xf numFmtId="41" fontId="7" fillId="0" borderId="29" xfId="1" applyFont="1" applyBorder="1" applyAlignment="1">
      <alignment horizontal="center" vertical="center" wrapText="1" shrinkToFit="1"/>
    </xf>
    <xf numFmtId="0" fontId="7" fillId="0" borderId="28" xfId="1" applyNumberFormat="1" applyFont="1" applyBorder="1" applyAlignment="1">
      <alignment horizontal="center" vertical="center" shrinkToFit="1"/>
    </xf>
    <xf numFmtId="0" fontId="7" fillId="0" borderId="31" xfId="1" applyNumberFormat="1" applyFont="1" applyBorder="1" applyAlignment="1">
      <alignment horizontal="center" vertical="center" shrinkToFit="1"/>
    </xf>
    <xf numFmtId="167" fontId="7" fillId="0" borderId="28" xfId="1" applyNumberFormat="1" applyFont="1" applyBorder="1" applyAlignment="1">
      <alignment horizontal="center" vertical="center" shrinkToFit="1"/>
    </xf>
    <xf numFmtId="167" fontId="7" fillId="0" borderId="29" xfId="1" applyNumberFormat="1" applyFont="1" applyBorder="1" applyAlignment="1">
      <alignment horizontal="center" vertical="center" shrinkToFit="1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132521</xdr:colOff>
      <xdr:row>38</xdr:row>
      <xdr:rowOff>77303</xdr:rowOff>
    </xdr:from>
    <xdr:to>
      <xdr:col>7</xdr:col>
      <xdr:colOff>609828</xdr:colOff>
      <xdr:row>42</xdr:row>
      <xdr:rowOff>103424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41869" y="8067260"/>
          <a:ext cx="1973698" cy="80551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40471</xdr:colOff>
      <xdr:row>27</xdr:row>
      <xdr:rowOff>71521</xdr:rowOff>
    </xdr:from>
    <xdr:to>
      <xdr:col>7</xdr:col>
      <xdr:colOff>640222</xdr:colOff>
      <xdr:row>31</xdr:row>
      <xdr:rowOff>106532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93A1DA0A-2B83-41D5-95C6-6CC1EC7F4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51118" y="7878286"/>
          <a:ext cx="1992455" cy="80877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9"/>
  <sheetViews>
    <sheetView tabSelected="1" view="pageBreakPreview" zoomScale="115" zoomScaleNormal="115" zoomScaleSheetLayoutView="115" workbookViewId="0">
      <selection sqref="A1:I2"/>
    </sheetView>
  </sheetViews>
  <sheetFormatPr defaultRowHeight="14" x14ac:dyDescent="0.25"/>
  <cols>
    <col min="1" max="1" width="11.33203125" customWidth="1"/>
    <col min="2" max="2" width="4.6640625" customWidth="1"/>
    <col min="4" max="4" width="8.6640625" customWidth="1"/>
    <col min="5" max="5" width="6.1640625" customWidth="1"/>
    <col min="6" max="6" width="11.6640625" customWidth="1"/>
    <col min="7" max="7" width="8" customWidth="1"/>
    <col min="8" max="8" width="9.58203125" customWidth="1"/>
    <col min="9" max="9" width="12.6640625" customWidth="1"/>
    <col min="10" max="10" width="12.33203125" customWidth="1"/>
  </cols>
  <sheetData>
    <row r="1" spans="1:9" s="1" customFormat="1" ht="15" customHeight="1" thickTop="1" x14ac:dyDescent="0.25">
      <c r="A1" s="114" t="s">
        <v>22</v>
      </c>
      <c r="B1" s="115"/>
      <c r="C1" s="115"/>
      <c r="D1" s="115"/>
      <c r="E1" s="115"/>
      <c r="F1" s="115"/>
      <c r="G1" s="115"/>
      <c r="H1" s="115"/>
      <c r="I1" s="116"/>
    </row>
    <row r="2" spans="1:9" s="1" customFormat="1" ht="15" customHeight="1" thickBot="1" x14ac:dyDescent="0.3">
      <c r="A2" s="117"/>
      <c r="B2" s="118"/>
      <c r="C2" s="118"/>
      <c r="D2" s="118"/>
      <c r="E2" s="118"/>
      <c r="F2" s="118"/>
      <c r="G2" s="118"/>
      <c r="H2" s="118"/>
      <c r="I2" s="119"/>
    </row>
    <row r="3" spans="1:9" s="1" customFormat="1" ht="17.149999999999999" customHeight="1" thickTop="1" x14ac:dyDescent="0.25">
      <c r="A3" s="5" t="s">
        <v>57</v>
      </c>
      <c r="B3" s="6"/>
      <c r="C3" s="6"/>
      <c r="D3" s="6"/>
      <c r="E3" s="6"/>
      <c r="F3" s="5" t="s">
        <v>64</v>
      </c>
      <c r="G3" s="6"/>
      <c r="H3" s="6"/>
      <c r="I3" s="7"/>
    </row>
    <row r="4" spans="1:9" s="1" customFormat="1" ht="17.149999999999999" customHeight="1" thickBot="1" x14ac:dyDescent="0.3">
      <c r="A4" s="68" t="s">
        <v>16</v>
      </c>
      <c r="B4" s="69"/>
      <c r="C4" s="69"/>
      <c r="D4" s="69"/>
      <c r="E4" s="8"/>
      <c r="F4" s="36" t="s">
        <v>65</v>
      </c>
      <c r="G4" s="70"/>
      <c r="H4" s="70"/>
      <c r="I4" s="9"/>
    </row>
    <row r="5" spans="1:9" s="1" customFormat="1" ht="17.149999999999999" customHeight="1" thickTop="1" x14ac:dyDescent="0.25">
      <c r="A5" s="71" t="s">
        <v>17</v>
      </c>
      <c r="B5" s="70"/>
      <c r="C5" s="70"/>
      <c r="D5" s="70"/>
      <c r="E5" s="70"/>
      <c r="F5" s="5" t="s">
        <v>58</v>
      </c>
      <c r="G5" s="6"/>
      <c r="H5" s="6"/>
      <c r="I5" s="7"/>
    </row>
    <row r="6" spans="1:9" s="1" customFormat="1" ht="17.149999999999999" customHeight="1" x14ac:dyDescent="0.25">
      <c r="A6" s="71" t="s">
        <v>21</v>
      </c>
      <c r="B6" s="70"/>
      <c r="C6" s="70"/>
      <c r="D6" s="70"/>
      <c r="E6" s="70"/>
      <c r="F6" s="123" t="s">
        <v>60</v>
      </c>
      <c r="G6" s="124"/>
      <c r="H6" s="124"/>
      <c r="I6" s="125"/>
    </row>
    <row r="7" spans="1:9" s="1" customFormat="1" ht="17.149999999999999" customHeight="1" x14ac:dyDescent="0.25">
      <c r="A7" s="71" t="s">
        <v>18</v>
      </c>
      <c r="B7" s="70"/>
      <c r="C7" s="70"/>
      <c r="D7" s="70"/>
      <c r="E7" s="70"/>
      <c r="F7" s="123"/>
      <c r="G7" s="124"/>
      <c r="H7" s="124"/>
      <c r="I7" s="125"/>
    </row>
    <row r="8" spans="1:9" s="1" customFormat="1" ht="17.149999999999999" customHeight="1" thickBot="1" x14ac:dyDescent="0.3">
      <c r="A8" s="10" t="s">
        <v>19</v>
      </c>
      <c r="B8" s="11"/>
      <c r="C8" s="11"/>
      <c r="D8" s="11"/>
      <c r="E8" s="12"/>
      <c r="F8" s="38" t="s">
        <v>59</v>
      </c>
      <c r="G8" s="64"/>
      <c r="H8" s="64"/>
      <c r="I8" s="65"/>
    </row>
    <row r="9" spans="1:9" s="1" customFormat="1" ht="16.5" customHeight="1" thickTop="1" x14ac:dyDescent="0.25">
      <c r="A9" s="5" t="s">
        <v>0</v>
      </c>
      <c r="B9" s="6"/>
      <c r="C9" s="6"/>
      <c r="D9" s="6"/>
      <c r="E9" s="7"/>
      <c r="F9" s="14" t="s">
        <v>1</v>
      </c>
      <c r="G9" s="70"/>
      <c r="H9" s="70"/>
      <c r="I9" s="9"/>
    </row>
    <row r="10" spans="1:9" s="1" customFormat="1" ht="16.5" customHeight="1" x14ac:dyDescent="0.25">
      <c r="A10" s="120" t="s">
        <v>44</v>
      </c>
      <c r="B10" s="121"/>
      <c r="C10" s="121"/>
      <c r="D10" s="121"/>
      <c r="E10" s="122"/>
      <c r="F10" s="70"/>
      <c r="G10" s="70"/>
      <c r="H10" s="70"/>
      <c r="I10" s="9"/>
    </row>
    <row r="11" spans="1:9" s="1" customFormat="1" ht="24" customHeight="1" x14ac:dyDescent="0.25">
      <c r="A11" s="120" t="s">
        <v>45</v>
      </c>
      <c r="B11" s="121"/>
      <c r="C11" s="121"/>
      <c r="D11" s="121"/>
      <c r="E11" s="122"/>
      <c r="F11" s="70"/>
      <c r="G11" s="70"/>
      <c r="H11" s="70"/>
      <c r="I11" s="9"/>
    </row>
    <row r="12" spans="1:9" s="1" customFormat="1" ht="16.5" customHeight="1" x14ac:dyDescent="0.25">
      <c r="A12" s="120" t="s">
        <v>46</v>
      </c>
      <c r="B12" s="121"/>
      <c r="C12" s="121"/>
      <c r="D12" s="121"/>
      <c r="E12" s="122"/>
      <c r="F12" s="70" t="s">
        <v>2</v>
      </c>
      <c r="G12" s="70"/>
      <c r="H12" s="70"/>
      <c r="I12" s="9"/>
    </row>
    <row r="13" spans="1:9" s="1" customFormat="1" ht="16.5" customHeight="1" x14ac:dyDescent="0.25">
      <c r="A13" s="128" t="s">
        <v>47</v>
      </c>
      <c r="B13" s="121"/>
      <c r="C13" s="121"/>
      <c r="D13" s="121"/>
      <c r="E13" s="122"/>
      <c r="F13" s="70"/>
      <c r="G13" s="70"/>
      <c r="H13" s="70"/>
      <c r="I13" s="9"/>
    </row>
    <row r="14" spans="1:9" s="1" customFormat="1" ht="16.5" customHeight="1" x14ac:dyDescent="0.25">
      <c r="A14" s="129" t="s">
        <v>50</v>
      </c>
      <c r="B14" s="130"/>
      <c r="C14" s="130"/>
      <c r="D14" s="130"/>
      <c r="E14" s="131"/>
      <c r="F14" s="70"/>
      <c r="G14" s="70"/>
      <c r="H14" s="70"/>
      <c r="I14" s="9"/>
    </row>
    <row r="15" spans="1:9" s="1" customFormat="1" ht="16.5" customHeight="1" thickBot="1" x14ac:dyDescent="0.3">
      <c r="A15" s="129"/>
      <c r="B15" s="130"/>
      <c r="C15" s="130"/>
      <c r="D15" s="130"/>
      <c r="E15" s="131"/>
      <c r="F15" s="70"/>
      <c r="G15" s="70"/>
      <c r="H15" s="70"/>
      <c r="I15" s="9"/>
    </row>
    <row r="16" spans="1:9" s="1" customFormat="1" ht="16.5" customHeight="1" thickTop="1" thickBot="1" x14ac:dyDescent="0.3">
      <c r="A16" s="150" t="s">
        <v>51</v>
      </c>
      <c r="B16" s="151"/>
      <c r="C16" s="151"/>
      <c r="D16" s="151"/>
      <c r="E16" s="152"/>
      <c r="F16" s="5" t="s">
        <v>13</v>
      </c>
      <c r="G16" s="6"/>
      <c r="H16" s="15" t="s">
        <v>20</v>
      </c>
      <c r="I16" s="7"/>
    </row>
    <row r="17" spans="1:9" s="1" customFormat="1" ht="16.5" customHeight="1" thickTop="1" thickBot="1" x14ac:dyDescent="0.3">
      <c r="A17" s="153"/>
      <c r="B17" s="154"/>
      <c r="C17" s="154"/>
      <c r="D17" s="154"/>
      <c r="E17" s="155"/>
      <c r="F17" s="132" t="s">
        <v>48</v>
      </c>
      <c r="G17" s="133"/>
      <c r="H17" s="134"/>
      <c r="I17" s="135"/>
    </row>
    <row r="18" spans="1:9" s="1" customFormat="1" ht="17.149999999999999" customHeight="1" thickTop="1" thickBot="1" x14ac:dyDescent="0.3">
      <c r="A18" s="16" t="s">
        <v>3</v>
      </c>
      <c r="B18" s="136" t="s">
        <v>12</v>
      </c>
      <c r="C18" s="136"/>
      <c r="D18" s="136"/>
      <c r="E18" s="17"/>
      <c r="F18" s="13" t="s">
        <v>4</v>
      </c>
      <c r="G18" s="70"/>
      <c r="H18" s="70"/>
      <c r="I18" s="9"/>
    </row>
    <row r="19" spans="1:9" s="1" customFormat="1" ht="17.149999999999999" customHeight="1" thickTop="1" thickBot="1" x14ac:dyDescent="0.3">
      <c r="A19" s="16" t="s">
        <v>5</v>
      </c>
      <c r="B19" s="137" t="s">
        <v>36</v>
      </c>
      <c r="C19" s="137"/>
      <c r="D19" s="137"/>
      <c r="E19" s="17"/>
      <c r="F19" s="10" t="s">
        <v>35</v>
      </c>
      <c r="G19" s="11"/>
      <c r="H19" s="11"/>
      <c r="I19" s="12"/>
    </row>
    <row r="20" spans="1:9" s="1" customFormat="1" ht="15" customHeight="1" thickTop="1" x14ac:dyDescent="0.25">
      <c r="A20" s="146" t="s">
        <v>43</v>
      </c>
      <c r="B20" s="147"/>
      <c r="C20" s="138" t="s">
        <v>8</v>
      </c>
      <c r="D20" s="139"/>
      <c r="E20" s="139"/>
      <c r="F20" s="140"/>
      <c r="G20" s="144" t="s">
        <v>9</v>
      </c>
      <c r="H20" s="144" t="s">
        <v>14</v>
      </c>
      <c r="I20" s="126" t="s">
        <v>15</v>
      </c>
    </row>
    <row r="21" spans="1:9" s="1" customFormat="1" ht="15" customHeight="1" thickBot="1" x14ac:dyDescent="0.3">
      <c r="A21" s="148"/>
      <c r="B21" s="149"/>
      <c r="C21" s="141"/>
      <c r="D21" s="142"/>
      <c r="E21" s="142"/>
      <c r="F21" s="143"/>
      <c r="G21" s="145"/>
      <c r="H21" s="145"/>
      <c r="I21" s="127"/>
    </row>
    <row r="22" spans="1:9" s="1" customFormat="1" ht="15" customHeight="1" thickTop="1" x14ac:dyDescent="0.25">
      <c r="A22" s="90" t="s">
        <v>37</v>
      </c>
      <c r="B22" s="91"/>
      <c r="C22" s="92" t="s">
        <v>38</v>
      </c>
      <c r="D22" s="93"/>
      <c r="E22" s="93"/>
      <c r="F22" s="91"/>
      <c r="G22" s="18"/>
      <c r="H22" s="19"/>
      <c r="I22" s="20"/>
    </row>
    <row r="23" spans="1:9" s="1" customFormat="1" ht="15" customHeight="1" x14ac:dyDescent="0.25">
      <c r="A23" s="94" t="s">
        <v>39</v>
      </c>
      <c r="B23" s="95"/>
      <c r="C23" s="99" t="s">
        <v>42</v>
      </c>
      <c r="D23" s="100"/>
      <c r="E23" s="100"/>
      <c r="F23" s="101"/>
      <c r="G23" s="35"/>
      <c r="H23" s="22"/>
      <c r="I23" s="49"/>
    </row>
    <row r="24" spans="1:9" s="1" customFormat="1" ht="15" customHeight="1" x14ac:dyDescent="0.25">
      <c r="A24" s="94" t="s">
        <v>40</v>
      </c>
      <c r="B24" s="95"/>
      <c r="C24" s="96" t="s">
        <v>55</v>
      </c>
      <c r="D24" s="97"/>
      <c r="E24" s="97"/>
      <c r="F24" s="98"/>
      <c r="G24" s="35">
        <v>2068</v>
      </c>
      <c r="H24" s="53">
        <v>5.42</v>
      </c>
      <c r="I24" s="54">
        <f t="shared" ref="I24" si="0">G24*H24</f>
        <v>11208.56</v>
      </c>
    </row>
    <row r="25" spans="1:9" s="1" customFormat="1" ht="15" customHeight="1" x14ac:dyDescent="0.25">
      <c r="A25" s="94" t="s">
        <v>41</v>
      </c>
      <c r="B25" s="95"/>
      <c r="C25" s="99" t="s">
        <v>56</v>
      </c>
      <c r="D25" s="100"/>
      <c r="E25" s="100"/>
      <c r="F25" s="101"/>
      <c r="G25" s="21"/>
      <c r="H25" s="22"/>
      <c r="I25" s="54"/>
    </row>
    <row r="26" spans="1:9" s="1" customFormat="1" ht="15" customHeight="1" x14ac:dyDescent="0.25">
      <c r="A26" s="94" t="s">
        <v>40</v>
      </c>
      <c r="B26" s="95"/>
      <c r="C26" s="96" t="s">
        <v>52</v>
      </c>
      <c r="D26" s="97"/>
      <c r="E26" s="97"/>
      <c r="F26" s="98"/>
      <c r="G26" s="35">
        <v>53768</v>
      </c>
      <c r="H26" s="53">
        <v>4.2699999999999996</v>
      </c>
      <c r="I26" s="54">
        <f t="shared" ref="I26" si="1">G26*H26</f>
        <v>229589.36</v>
      </c>
    </row>
    <row r="27" spans="1:9" s="1" customFormat="1" ht="15" customHeight="1" x14ac:dyDescent="0.25">
      <c r="A27" s="94" t="s">
        <v>41</v>
      </c>
      <c r="B27" s="95"/>
      <c r="C27" s="99" t="s">
        <v>54</v>
      </c>
      <c r="D27" s="100"/>
      <c r="E27" s="100"/>
      <c r="F27" s="101"/>
      <c r="G27" s="89"/>
      <c r="H27" s="22"/>
      <c r="I27" s="54"/>
    </row>
    <row r="28" spans="1:9" s="1" customFormat="1" ht="15" customHeight="1" x14ac:dyDescent="0.25">
      <c r="A28" s="94"/>
      <c r="B28" s="95"/>
      <c r="C28" s="96"/>
      <c r="D28" s="97"/>
      <c r="E28" s="97"/>
      <c r="F28" s="98"/>
      <c r="G28" s="61"/>
      <c r="H28" s="22"/>
      <c r="I28" s="56"/>
    </row>
    <row r="29" spans="1:9" s="1" customFormat="1" ht="15" customHeight="1" x14ac:dyDescent="0.25">
      <c r="A29" s="94"/>
      <c r="B29" s="95"/>
      <c r="C29" s="99"/>
      <c r="D29" s="100"/>
      <c r="E29" s="100"/>
      <c r="F29" s="101"/>
      <c r="G29" s="21"/>
      <c r="H29" s="22"/>
      <c r="I29" s="23"/>
    </row>
    <row r="30" spans="1:9" s="2" customFormat="1" ht="15" customHeight="1" x14ac:dyDescent="0.25">
      <c r="A30" s="63"/>
      <c r="B30" s="45"/>
      <c r="G30" s="89"/>
      <c r="H30" s="22"/>
      <c r="I30" s="23"/>
    </row>
    <row r="31" spans="1:9" s="1" customFormat="1" ht="15" customHeight="1" x14ac:dyDescent="0.25">
      <c r="A31" s="72"/>
      <c r="B31" s="44"/>
      <c r="C31" s="111" t="s">
        <v>34</v>
      </c>
      <c r="D31" s="112"/>
      <c r="E31" s="112"/>
      <c r="F31" s="113"/>
      <c r="G31" s="35"/>
      <c r="H31" s="42"/>
      <c r="I31" s="34"/>
    </row>
    <row r="32" spans="1:9" s="1" customFormat="1" ht="15" customHeight="1" x14ac:dyDescent="0.25">
      <c r="A32" s="72"/>
      <c r="B32" s="46"/>
      <c r="C32" s="105" t="s">
        <v>61</v>
      </c>
      <c r="D32" s="106"/>
      <c r="E32" s="106"/>
      <c r="F32" s="107"/>
      <c r="G32" s="21"/>
      <c r="H32" s="73"/>
      <c r="I32" s="24"/>
    </row>
    <row r="33" spans="1:9" s="2" customFormat="1" ht="15" customHeight="1" x14ac:dyDescent="0.25">
      <c r="A33" s="63"/>
      <c r="B33" s="47"/>
      <c r="C33" s="105" t="s">
        <v>33</v>
      </c>
      <c r="D33" s="106"/>
      <c r="E33" s="106"/>
      <c r="F33" s="107"/>
      <c r="G33" s="25"/>
      <c r="H33" s="70"/>
      <c r="I33" s="26"/>
    </row>
    <row r="34" spans="1:9" s="2" customFormat="1" ht="15" customHeight="1" x14ac:dyDescent="0.25">
      <c r="A34" s="63"/>
      <c r="B34" s="47"/>
      <c r="C34" s="108" t="s">
        <v>62</v>
      </c>
      <c r="D34" s="109"/>
      <c r="E34" s="109"/>
      <c r="F34" s="110"/>
      <c r="G34" s="25"/>
      <c r="H34" s="70"/>
      <c r="I34" s="26"/>
    </row>
    <row r="35" spans="1:9" s="2" customFormat="1" ht="15" customHeight="1" thickBot="1" x14ac:dyDescent="0.3">
      <c r="A35" s="74"/>
      <c r="B35" s="48"/>
      <c r="C35" s="75"/>
      <c r="D35" s="75"/>
      <c r="E35" s="75"/>
      <c r="F35" s="75"/>
      <c r="G35" s="25"/>
      <c r="H35" s="70"/>
      <c r="I35" s="59"/>
    </row>
    <row r="36" spans="1:9" s="1" customFormat="1" ht="24" customHeight="1" thickTop="1" thickBot="1" x14ac:dyDescent="0.3">
      <c r="A36" s="102" t="s">
        <v>63</v>
      </c>
      <c r="B36" s="103"/>
      <c r="C36" s="103"/>
      <c r="D36" s="103"/>
      <c r="E36" s="103"/>
      <c r="F36" s="103"/>
      <c r="G36" s="103"/>
      <c r="H36" s="103"/>
      <c r="I36" s="104"/>
    </row>
    <row r="37" spans="1:9" s="1" customFormat="1" ht="15" customHeight="1" thickTop="1" x14ac:dyDescent="0.25">
      <c r="A37" s="13"/>
      <c r="B37" s="76"/>
      <c r="C37" s="76"/>
      <c r="D37" s="77"/>
      <c r="E37" s="78"/>
      <c r="F37" s="78"/>
      <c r="G37" s="78"/>
      <c r="H37" s="78"/>
      <c r="I37" s="27"/>
    </row>
    <row r="38" spans="1:9" s="1" customFormat="1" ht="15" customHeight="1" x14ac:dyDescent="0.25">
      <c r="A38" s="72"/>
      <c r="B38" s="78"/>
      <c r="C38" s="78"/>
      <c r="D38" s="78"/>
      <c r="E38" s="78"/>
      <c r="F38" s="79" t="s">
        <v>10</v>
      </c>
      <c r="G38" s="78"/>
      <c r="H38" s="78"/>
      <c r="I38" s="27"/>
    </row>
    <row r="39" spans="1:9" s="1" customFormat="1" ht="15" customHeight="1" x14ac:dyDescent="0.25">
      <c r="A39" s="13"/>
      <c r="B39" s="76"/>
      <c r="C39" s="76"/>
      <c r="D39" s="80"/>
      <c r="E39" s="78"/>
      <c r="F39" s="80"/>
      <c r="G39" s="78"/>
      <c r="H39" s="78"/>
      <c r="I39" s="27"/>
    </row>
    <row r="40" spans="1:9" s="1" customFormat="1" ht="15" customHeight="1" x14ac:dyDescent="0.25">
      <c r="A40" s="13"/>
      <c r="B40" s="76"/>
      <c r="C40" s="76"/>
      <c r="D40" s="80"/>
      <c r="E40" s="76"/>
      <c r="F40" s="80"/>
      <c r="G40" s="78"/>
      <c r="H40" s="78"/>
      <c r="I40" s="27"/>
    </row>
    <row r="41" spans="1:9" s="1" customFormat="1" ht="15" customHeight="1" x14ac:dyDescent="0.25">
      <c r="A41" s="13"/>
      <c r="B41" s="76"/>
      <c r="C41" s="76"/>
      <c r="D41" s="80"/>
      <c r="E41" s="76"/>
      <c r="F41" s="78"/>
      <c r="G41" s="78"/>
      <c r="H41" s="78"/>
      <c r="I41" s="27"/>
    </row>
    <row r="42" spans="1:9" s="1" customFormat="1" ht="15" customHeight="1" x14ac:dyDescent="0.25">
      <c r="A42" s="13"/>
      <c r="B42" s="76"/>
      <c r="C42" s="76"/>
      <c r="D42" s="80"/>
      <c r="E42" s="76"/>
      <c r="F42" s="78"/>
      <c r="G42" s="78"/>
      <c r="H42" s="78"/>
      <c r="I42" s="27"/>
    </row>
    <row r="43" spans="1:9" s="1" customFormat="1" ht="15" customHeight="1" thickBot="1" x14ac:dyDescent="0.3">
      <c r="A43" s="13"/>
      <c r="B43" s="76"/>
      <c r="C43" s="76"/>
      <c r="D43" s="80"/>
      <c r="E43" s="76"/>
      <c r="F43" s="28"/>
      <c r="G43" s="28"/>
      <c r="H43" s="28"/>
      <c r="I43" s="27"/>
    </row>
    <row r="44" spans="1:9" s="1" customFormat="1" ht="15" customHeight="1" thickBot="1" x14ac:dyDescent="0.3">
      <c r="A44" s="29"/>
      <c r="B44" s="30"/>
      <c r="C44" s="30"/>
      <c r="D44" s="31"/>
      <c r="E44" s="30"/>
      <c r="F44" s="32"/>
      <c r="G44" s="32"/>
      <c r="H44" s="32"/>
      <c r="I44" s="33"/>
    </row>
    <row r="45" spans="1:9" s="1" customFormat="1" ht="15" thickTop="1" x14ac:dyDescent="0.25">
      <c r="A45" s="3"/>
      <c r="B45" s="3"/>
      <c r="C45" s="3"/>
      <c r="D45" s="3"/>
      <c r="E45" s="3"/>
      <c r="F45" s="3"/>
      <c r="G45" s="3"/>
      <c r="H45" s="3"/>
      <c r="I45" s="3"/>
    </row>
    <row r="46" spans="1:9" s="1" customFormat="1" ht="14.5" x14ac:dyDescent="0.25">
      <c r="A46" s="3"/>
      <c r="B46" s="3"/>
      <c r="C46" s="3"/>
      <c r="D46" s="3"/>
      <c r="E46" s="3"/>
      <c r="F46" s="3"/>
      <c r="G46" s="3"/>
      <c r="H46" s="3"/>
      <c r="I46" s="3"/>
    </row>
    <row r="47" spans="1:9" s="1" customFormat="1" ht="14.5" x14ac:dyDescent="0.25">
      <c r="A47" s="3"/>
      <c r="B47" s="3"/>
      <c r="C47" s="3"/>
      <c r="D47" s="3"/>
      <c r="E47" s="3"/>
      <c r="F47" s="3"/>
      <c r="G47" s="3"/>
      <c r="H47" s="3"/>
      <c r="I47" s="3"/>
    </row>
    <row r="48" spans="1:9" s="1" customFormat="1" ht="14.5" x14ac:dyDescent="0.25">
      <c r="A48" s="3"/>
      <c r="B48" s="3"/>
      <c r="C48" s="3"/>
      <c r="D48" s="3"/>
      <c r="E48" s="3"/>
      <c r="F48" s="3"/>
      <c r="G48" s="3"/>
      <c r="H48" s="3"/>
      <c r="I48" s="3"/>
    </row>
    <row r="49" spans="1:9" s="1" customFormat="1" ht="14.5" x14ac:dyDescent="0.25">
      <c r="A49" s="3"/>
      <c r="B49" s="3"/>
      <c r="C49" s="3"/>
      <c r="D49" s="3"/>
      <c r="E49" s="3"/>
      <c r="F49" s="3"/>
      <c r="G49" s="3"/>
      <c r="H49" s="3"/>
      <c r="I49" s="3"/>
    </row>
    <row r="50" spans="1:9" s="1" customFormat="1" ht="14.5" x14ac:dyDescent="0.25">
      <c r="A50" s="3"/>
      <c r="B50" s="3"/>
      <c r="C50" s="3"/>
      <c r="D50" s="3"/>
      <c r="E50" s="3"/>
      <c r="F50" s="3"/>
      <c r="G50" s="3"/>
      <c r="H50" s="3"/>
      <c r="I50" s="3"/>
    </row>
    <row r="51" spans="1:9" s="1" customFormat="1" ht="14.5" x14ac:dyDescent="0.25">
      <c r="A51" s="3"/>
      <c r="B51" s="3"/>
      <c r="C51" s="3"/>
      <c r="D51" s="3"/>
      <c r="E51" s="3"/>
      <c r="F51" s="3"/>
      <c r="G51" s="3"/>
      <c r="H51" s="3"/>
      <c r="I51" s="3"/>
    </row>
    <row r="52" spans="1:9" s="1" customFormat="1" ht="14.5" x14ac:dyDescent="0.25">
      <c r="A52" s="3"/>
      <c r="B52" s="3"/>
      <c r="C52" s="3"/>
      <c r="D52" s="3"/>
      <c r="E52" s="3"/>
      <c r="F52" s="3"/>
      <c r="G52" s="3"/>
      <c r="H52" s="3"/>
      <c r="I52" s="3"/>
    </row>
    <row r="53" spans="1:9" s="1" customFormat="1" ht="14.5" x14ac:dyDescent="0.25">
      <c r="A53" s="3"/>
      <c r="B53" s="3"/>
      <c r="C53" s="3"/>
      <c r="D53" s="3"/>
      <c r="E53" s="3"/>
      <c r="F53" s="3"/>
      <c r="G53" s="3"/>
      <c r="H53" s="3"/>
      <c r="I53" s="3"/>
    </row>
    <row r="54" spans="1:9" s="1" customFormat="1" ht="14.5" x14ac:dyDescent="0.25">
      <c r="A54" s="3"/>
      <c r="B54" s="3"/>
      <c r="C54" s="3"/>
      <c r="D54" s="3"/>
      <c r="E54" s="3"/>
      <c r="F54" s="3"/>
      <c r="G54" s="3"/>
      <c r="H54" s="3"/>
      <c r="I54" s="3"/>
    </row>
    <row r="55" spans="1:9" s="1" customFormat="1" ht="14.5" x14ac:dyDescent="0.25">
      <c r="A55" s="3"/>
      <c r="B55" s="3"/>
      <c r="C55" s="3"/>
      <c r="D55" s="3"/>
      <c r="E55" s="3"/>
      <c r="F55" s="3"/>
      <c r="G55" s="3"/>
      <c r="H55" s="3"/>
      <c r="I55" s="3"/>
    </row>
    <row r="56" spans="1:9" ht="15" x14ac:dyDescent="0.35">
      <c r="A56" s="4"/>
      <c r="B56" s="4"/>
      <c r="C56" s="4"/>
      <c r="D56" s="4"/>
      <c r="E56" s="4"/>
      <c r="F56" s="4"/>
      <c r="G56" s="4"/>
      <c r="H56" s="4"/>
      <c r="I56" s="4"/>
    </row>
    <row r="57" spans="1:9" ht="15" x14ac:dyDescent="0.35">
      <c r="A57" s="4"/>
      <c r="B57" s="4"/>
      <c r="C57" s="4"/>
      <c r="D57" s="4"/>
      <c r="E57" s="4"/>
      <c r="F57" s="4"/>
      <c r="G57" s="4"/>
      <c r="H57" s="4"/>
      <c r="I57" s="4"/>
    </row>
    <row r="58" spans="1:9" ht="15" x14ac:dyDescent="0.35">
      <c r="A58" s="4"/>
      <c r="B58" s="4"/>
      <c r="C58" s="4"/>
      <c r="D58" s="4"/>
      <c r="E58" s="4"/>
      <c r="F58" s="4"/>
      <c r="G58" s="4"/>
      <c r="H58" s="4"/>
      <c r="I58" s="4"/>
    </row>
    <row r="59" spans="1:9" ht="15" x14ac:dyDescent="0.35">
      <c r="A59" s="4"/>
      <c r="B59" s="4"/>
      <c r="C59" s="4"/>
      <c r="D59" s="4"/>
      <c r="E59" s="4"/>
      <c r="F59" s="4"/>
      <c r="G59" s="4"/>
      <c r="H59" s="4"/>
      <c r="I59" s="4"/>
    </row>
    <row r="60" spans="1:9" ht="15" x14ac:dyDescent="0.35">
      <c r="A60" s="4"/>
      <c r="B60" s="4"/>
      <c r="C60" s="4"/>
      <c r="D60" s="4"/>
      <c r="E60" s="4"/>
      <c r="F60" s="4"/>
      <c r="G60" s="4"/>
      <c r="H60" s="4"/>
      <c r="I60" s="4"/>
    </row>
    <row r="61" spans="1:9" ht="15" x14ac:dyDescent="0.35">
      <c r="A61" s="4"/>
      <c r="B61" s="4"/>
      <c r="C61" s="4"/>
      <c r="D61" s="4"/>
      <c r="E61" s="4"/>
      <c r="F61" s="4"/>
      <c r="G61" s="4"/>
      <c r="H61" s="4"/>
      <c r="I61" s="4"/>
    </row>
    <row r="62" spans="1:9" ht="15" x14ac:dyDescent="0.35">
      <c r="A62" s="4"/>
      <c r="B62" s="4"/>
      <c r="C62" s="4"/>
      <c r="D62" s="4"/>
      <c r="E62" s="4"/>
      <c r="F62" s="4"/>
      <c r="G62" s="4"/>
      <c r="H62" s="4"/>
      <c r="I62" s="4"/>
    </row>
    <row r="63" spans="1:9" ht="15" x14ac:dyDescent="0.35">
      <c r="A63" s="4"/>
      <c r="B63" s="4"/>
      <c r="C63" s="4"/>
      <c r="D63" s="4"/>
      <c r="E63" s="4"/>
      <c r="F63" s="4"/>
      <c r="G63" s="4"/>
      <c r="H63" s="4"/>
      <c r="I63" s="4"/>
    </row>
    <row r="64" spans="1:9" ht="15" x14ac:dyDescent="0.35">
      <c r="A64" s="4"/>
      <c r="B64" s="4"/>
      <c r="C64" s="4"/>
      <c r="D64" s="4"/>
      <c r="E64" s="4"/>
      <c r="F64" s="4"/>
      <c r="G64" s="4"/>
      <c r="H64" s="4"/>
      <c r="I64" s="4"/>
    </row>
    <row r="65" spans="1:9" ht="15" x14ac:dyDescent="0.35">
      <c r="A65" s="4"/>
      <c r="B65" s="4"/>
      <c r="C65" s="4"/>
      <c r="D65" s="4"/>
      <c r="E65" s="4"/>
      <c r="F65" s="4"/>
      <c r="G65" s="4"/>
      <c r="H65" s="4"/>
      <c r="I65" s="4"/>
    </row>
    <row r="66" spans="1:9" ht="15" x14ac:dyDescent="0.35">
      <c r="A66" s="4"/>
      <c r="B66" s="4"/>
      <c r="C66" s="4"/>
      <c r="D66" s="4"/>
      <c r="E66" s="4"/>
      <c r="F66" s="4"/>
      <c r="G66" s="4"/>
      <c r="H66" s="4"/>
      <c r="I66" s="4"/>
    </row>
    <row r="67" spans="1:9" ht="15" x14ac:dyDescent="0.35">
      <c r="A67" s="4"/>
      <c r="B67" s="4"/>
      <c r="C67" s="4"/>
      <c r="D67" s="4"/>
      <c r="E67" s="4"/>
      <c r="F67" s="4"/>
      <c r="G67" s="4"/>
      <c r="H67" s="4"/>
      <c r="I67" s="4"/>
    </row>
    <row r="68" spans="1:9" ht="15" x14ac:dyDescent="0.35">
      <c r="A68" s="4"/>
      <c r="B68" s="4"/>
      <c r="C68" s="4"/>
      <c r="D68" s="4"/>
      <c r="E68" s="4"/>
      <c r="F68" s="4"/>
      <c r="G68" s="4"/>
      <c r="H68" s="4"/>
      <c r="I68" s="4"/>
    </row>
    <row r="69" spans="1:9" ht="15" x14ac:dyDescent="0.35">
      <c r="A69" s="4"/>
      <c r="B69" s="4"/>
      <c r="C69" s="4"/>
      <c r="D69" s="4"/>
      <c r="E69" s="4"/>
      <c r="F69" s="4"/>
      <c r="G69" s="4"/>
      <c r="H69" s="4"/>
      <c r="I69" s="4"/>
    </row>
    <row r="70" spans="1:9" ht="15" x14ac:dyDescent="0.35">
      <c r="A70" s="4"/>
      <c r="B70" s="4"/>
      <c r="C70" s="4"/>
      <c r="D70" s="4"/>
      <c r="E70" s="4"/>
      <c r="F70" s="4"/>
      <c r="G70" s="4"/>
      <c r="H70" s="4"/>
      <c r="I70" s="4"/>
    </row>
    <row r="71" spans="1:9" ht="15" x14ac:dyDescent="0.35">
      <c r="A71" s="4"/>
      <c r="B71" s="4"/>
      <c r="C71" s="4"/>
      <c r="D71" s="4"/>
      <c r="E71" s="4"/>
      <c r="F71" s="4"/>
      <c r="G71" s="4"/>
      <c r="H71" s="4"/>
      <c r="I71" s="4"/>
    </row>
    <row r="72" spans="1:9" ht="15" x14ac:dyDescent="0.35">
      <c r="A72" s="4"/>
      <c r="B72" s="4"/>
      <c r="C72" s="4"/>
      <c r="D72" s="4"/>
      <c r="E72" s="4"/>
      <c r="F72" s="4"/>
      <c r="G72" s="4"/>
      <c r="H72" s="4"/>
      <c r="I72" s="4"/>
    </row>
    <row r="73" spans="1:9" ht="15" x14ac:dyDescent="0.35">
      <c r="A73" s="4"/>
      <c r="B73" s="4"/>
      <c r="C73" s="4"/>
      <c r="D73" s="4"/>
      <c r="E73" s="4"/>
      <c r="F73" s="4"/>
      <c r="G73" s="4"/>
      <c r="H73" s="4"/>
      <c r="I73" s="4"/>
    </row>
    <row r="74" spans="1:9" ht="15" x14ac:dyDescent="0.35">
      <c r="A74" s="4"/>
      <c r="B74" s="4"/>
      <c r="C74" s="4"/>
      <c r="D74" s="4"/>
      <c r="E74" s="4"/>
      <c r="F74" s="4"/>
      <c r="G74" s="4"/>
      <c r="H74" s="4"/>
      <c r="I74" s="4"/>
    </row>
    <row r="75" spans="1:9" ht="15" x14ac:dyDescent="0.35">
      <c r="A75" s="4"/>
      <c r="B75" s="4"/>
      <c r="C75" s="4"/>
      <c r="D75" s="4"/>
      <c r="E75" s="4"/>
      <c r="F75" s="4"/>
      <c r="G75" s="4"/>
      <c r="H75" s="4"/>
      <c r="I75" s="4"/>
    </row>
    <row r="76" spans="1:9" ht="15" x14ac:dyDescent="0.35">
      <c r="A76" s="4"/>
      <c r="B76" s="4"/>
      <c r="C76" s="4"/>
      <c r="D76" s="4"/>
      <c r="E76" s="4"/>
      <c r="F76" s="4"/>
      <c r="G76" s="4"/>
      <c r="H76" s="4"/>
      <c r="I76" s="4"/>
    </row>
    <row r="77" spans="1:9" ht="15" x14ac:dyDescent="0.35">
      <c r="A77" s="4"/>
      <c r="B77" s="4"/>
      <c r="C77" s="4"/>
      <c r="D77" s="4"/>
      <c r="E77" s="4"/>
      <c r="F77" s="4"/>
      <c r="G77" s="4"/>
      <c r="H77" s="4"/>
      <c r="I77" s="4"/>
    </row>
    <row r="78" spans="1:9" ht="15" x14ac:dyDescent="0.35">
      <c r="A78" s="4"/>
      <c r="B78" s="4"/>
      <c r="C78" s="4"/>
      <c r="D78" s="4"/>
      <c r="E78" s="4"/>
      <c r="F78" s="4"/>
      <c r="G78" s="4"/>
      <c r="H78" s="4"/>
      <c r="I78" s="4"/>
    </row>
    <row r="79" spans="1:9" ht="15" x14ac:dyDescent="0.35">
      <c r="A79" s="4"/>
      <c r="B79" s="4"/>
      <c r="C79" s="4"/>
      <c r="D79" s="4"/>
      <c r="E79" s="4"/>
      <c r="F79" s="4"/>
      <c r="G79" s="4"/>
      <c r="H79" s="4"/>
      <c r="I79" s="4"/>
    </row>
    <row r="80" spans="1:9" ht="15" x14ac:dyDescent="0.35">
      <c r="A80" s="4"/>
      <c r="B80" s="4"/>
      <c r="C80" s="4"/>
      <c r="D80" s="4"/>
      <c r="E80" s="4"/>
      <c r="F80" s="4"/>
      <c r="G80" s="4"/>
      <c r="H80" s="4"/>
      <c r="I80" s="4"/>
    </row>
    <row r="81" spans="1:9" ht="15" x14ac:dyDescent="0.35">
      <c r="A81" s="4"/>
      <c r="B81" s="4"/>
      <c r="C81" s="4"/>
      <c r="D81" s="4"/>
      <c r="E81" s="4"/>
      <c r="F81" s="4"/>
      <c r="G81" s="4"/>
      <c r="H81" s="4"/>
      <c r="I81" s="4"/>
    </row>
    <row r="82" spans="1:9" ht="15" x14ac:dyDescent="0.35">
      <c r="A82" s="4"/>
      <c r="B82" s="4"/>
      <c r="C82" s="4"/>
      <c r="D82" s="4"/>
      <c r="E82" s="4"/>
      <c r="F82" s="4"/>
      <c r="G82" s="4"/>
      <c r="H82" s="4"/>
      <c r="I82" s="4"/>
    </row>
    <row r="83" spans="1:9" ht="15" x14ac:dyDescent="0.35">
      <c r="A83" s="4"/>
      <c r="B83" s="4"/>
      <c r="C83" s="4"/>
      <c r="D83" s="4"/>
      <c r="E83" s="4"/>
      <c r="F83" s="4"/>
      <c r="G83" s="4"/>
      <c r="H83" s="4"/>
      <c r="I83" s="4"/>
    </row>
    <row r="84" spans="1:9" ht="15" x14ac:dyDescent="0.35">
      <c r="A84" s="4"/>
      <c r="B84" s="4"/>
      <c r="C84" s="4"/>
      <c r="D84" s="4"/>
      <c r="E84" s="4"/>
      <c r="F84" s="4"/>
      <c r="G84" s="4"/>
      <c r="H84" s="4"/>
      <c r="I84" s="4"/>
    </row>
    <row r="85" spans="1:9" ht="15" x14ac:dyDescent="0.35">
      <c r="A85" s="4"/>
      <c r="B85" s="4"/>
      <c r="C85" s="4"/>
      <c r="D85" s="4"/>
      <c r="E85" s="4"/>
      <c r="F85" s="4"/>
      <c r="G85" s="4"/>
      <c r="H85" s="4"/>
      <c r="I85" s="4"/>
    </row>
    <row r="86" spans="1:9" ht="15" x14ac:dyDescent="0.35">
      <c r="A86" s="4"/>
      <c r="B86" s="4"/>
      <c r="C86" s="4"/>
      <c r="D86" s="4"/>
      <c r="E86" s="4"/>
      <c r="F86" s="4"/>
      <c r="G86" s="4"/>
      <c r="H86" s="4"/>
      <c r="I86" s="4"/>
    </row>
    <row r="87" spans="1:9" ht="15" x14ac:dyDescent="0.35">
      <c r="A87" s="4"/>
      <c r="B87" s="4"/>
      <c r="C87" s="4"/>
      <c r="D87" s="4"/>
      <c r="E87" s="4"/>
      <c r="F87" s="4"/>
      <c r="G87" s="4"/>
      <c r="H87" s="4"/>
      <c r="I87" s="4"/>
    </row>
    <row r="88" spans="1:9" ht="15" x14ac:dyDescent="0.35">
      <c r="A88" s="4"/>
      <c r="B88" s="4"/>
      <c r="C88" s="4"/>
      <c r="D88" s="4"/>
      <c r="E88" s="4"/>
      <c r="F88" s="4"/>
      <c r="G88" s="4"/>
      <c r="H88" s="4"/>
      <c r="I88" s="4"/>
    </row>
    <row r="89" spans="1:9" ht="15" x14ac:dyDescent="0.35">
      <c r="A89" s="4"/>
      <c r="B89" s="4"/>
      <c r="C89" s="4"/>
      <c r="D89" s="4"/>
      <c r="E89" s="4"/>
      <c r="F89" s="4"/>
      <c r="G89" s="4"/>
      <c r="H89" s="4"/>
      <c r="I89" s="4"/>
    </row>
    <row r="90" spans="1:9" ht="15" x14ac:dyDescent="0.35">
      <c r="A90" s="4"/>
      <c r="B90" s="4"/>
      <c r="C90" s="4"/>
      <c r="D90" s="4"/>
      <c r="E90" s="4"/>
      <c r="F90" s="4"/>
      <c r="G90" s="4"/>
      <c r="H90" s="4"/>
      <c r="I90" s="4"/>
    </row>
    <row r="91" spans="1:9" ht="15" x14ac:dyDescent="0.35">
      <c r="A91" s="4"/>
      <c r="B91" s="4"/>
      <c r="C91" s="4"/>
      <c r="D91" s="4"/>
      <c r="E91" s="4"/>
      <c r="F91" s="4"/>
      <c r="G91" s="4"/>
      <c r="H91" s="4"/>
      <c r="I91" s="4"/>
    </row>
    <row r="92" spans="1:9" ht="15" x14ac:dyDescent="0.35">
      <c r="A92" s="4"/>
      <c r="B92" s="4"/>
      <c r="C92" s="4"/>
      <c r="D92" s="4"/>
      <c r="E92" s="4"/>
      <c r="F92" s="4"/>
      <c r="G92" s="4"/>
      <c r="H92" s="4"/>
      <c r="I92" s="4"/>
    </row>
    <row r="93" spans="1:9" ht="15" x14ac:dyDescent="0.35">
      <c r="A93" s="4"/>
      <c r="B93" s="4"/>
      <c r="C93" s="4"/>
      <c r="D93" s="4"/>
      <c r="E93" s="4"/>
      <c r="F93" s="4"/>
      <c r="G93" s="4"/>
      <c r="H93" s="4"/>
      <c r="I93" s="4"/>
    </row>
    <row r="94" spans="1:9" ht="15" x14ac:dyDescent="0.35">
      <c r="A94" s="4"/>
      <c r="B94" s="4"/>
      <c r="C94" s="4"/>
      <c r="D94" s="4"/>
      <c r="E94" s="4"/>
      <c r="F94" s="4"/>
      <c r="G94" s="4"/>
      <c r="H94" s="4"/>
      <c r="I94" s="4"/>
    </row>
    <row r="95" spans="1:9" ht="15" x14ac:dyDescent="0.35">
      <c r="A95" s="4"/>
      <c r="B95" s="4"/>
      <c r="C95" s="4"/>
      <c r="D95" s="4"/>
      <c r="E95" s="4"/>
      <c r="F95" s="4"/>
      <c r="G95" s="4"/>
      <c r="H95" s="4"/>
      <c r="I95" s="4"/>
    </row>
    <row r="96" spans="1:9" ht="15" x14ac:dyDescent="0.35">
      <c r="A96" s="4"/>
      <c r="B96" s="4"/>
      <c r="C96" s="4"/>
      <c r="D96" s="4"/>
      <c r="E96" s="4"/>
      <c r="F96" s="4"/>
      <c r="G96" s="4"/>
      <c r="H96" s="4"/>
      <c r="I96" s="4"/>
    </row>
    <row r="97" spans="1:9" ht="15" x14ac:dyDescent="0.35">
      <c r="A97" s="4"/>
      <c r="B97" s="4"/>
      <c r="C97" s="4"/>
      <c r="D97" s="4"/>
      <c r="E97" s="4"/>
      <c r="F97" s="4"/>
      <c r="G97" s="4"/>
      <c r="H97" s="4"/>
      <c r="I97" s="4"/>
    </row>
    <row r="98" spans="1:9" ht="15" x14ac:dyDescent="0.35">
      <c r="A98" s="4"/>
      <c r="B98" s="4"/>
      <c r="C98" s="4"/>
      <c r="D98" s="4"/>
      <c r="E98" s="4"/>
      <c r="F98" s="4"/>
      <c r="G98" s="4"/>
      <c r="H98" s="4"/>
      <c r="I98" s="4"/>
    </row>
    <row r="99" spans="1:9" ht="15" x14ac:dyDescent="0.35">
      <c r="A99" s="4"/>
      <c r="B99" s="4"/>
      <c r="C99" s="4"/>
      <c r="D99" s="4"/>
      <c r="E99" s="4"/>
      <c r="F99" s="4"/>
      <c r="G99" s="4"/>
      <c r="H99" s="4"/>
      <c r="I99" s="4"/>
    </row>
  </sheetData>
  <mergeCells count="38">
    <mergeCell ref="I20:I21"/>
    <mergeCell ref="A13:E13"/>
    <mergeCell ref="A14:E14"/>
    <mergeCell ref="F17:I17"/>
    <mergeCell ref="B18:D18"/>
    <mergeCell ref="B19:D19"/>
    <mergeCell ref="C20:F21"/>
    <mergeCell ref="G20:G21"/>
    <mergeCell ref="H20:H21"/>
    <mergeCell ref="A15:E15"/>
    <mergeCell ref="A20:B21"/>
    <mergeCell ref="A16:E17"/>
    <mergeCell ref="A1:I2"/>
    <mergeCell ref="A10:E10"/>
    <mergeCell ref="A11:E11"/>
    <mergeCell ref="A12:E12"/>
    <mergeCell ref="F6:I7"/>
    <mergeCell ref="A36:I36"/>
    <mergeCell ref="C23:F23"/>
    <mergeCell ref="C33:F33"/>
    <mergeCell ref="C34:F34"/>
    <mergeCell ref="C26:F26"/>
    <mergeCell ref="C31:F31"/>
    <mergeCell ref="C32:F32"/>
    <mergeCell ref="A26:B26"/>
    <mergeCell ref="A27:B27"/>
    <mergeCell ref="C27:F27"/>
    <mergeCell ref="A28:B28"/>
    <mergeCell ref="C28:F28"/>
    <mergeCell ref="A23:B23"/>
    <mergeCell ref="A29:B29"/>
    <mergeCell ref="C29:F29"/>
    <mergeCell ref="A22:B22"/>
    <mergeCell ref="C22:F22"/>
    <mergeCell ref="A24:B24"/>
    <mergeCell ref="C24:F24"/>
    <mergeCell ref="A25:B25"/>
    <mergeCell ref="C25:F25"/>
  </mergeCells>
  <phoneticPr fontId="2" type="noConversion"/>
  <printOptions horizontalCentered="1"/>
  <pageMargins left="0.70866141732283472" right="0.70866141732283472" top="0.94488188976377963" bottom="0.74803149606299213" header="0.31496062992125984" footer="0.31496062992125984"/>
  <pageSetup paperSize="9" scale="92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8"/>
  <sheetViews>
    <sheetView view="pageBreakPreview" zoomScale="115" zoomScaleNormal="115" zoomScaleSheetLayoutView="115" workbookViewId="0">
      <selection activeCell="H26" sqref="H26"/>
    </sheetView>
  </sheetViews>
  <sheetFormatPr defaultRowHeight="14" x14ac:dyDescent="0.25"/>
  <cols>
    <col min="1" max="1" width="11.33203125" customWidth="1"/>
    <col min="2" max="2" width="4.6640625" customWidth="1"/>
    <col min="4" max="4" width="8.6640625" customWidth="1"/>
    <col min="5" max="5" width="6.1640625" customWidth="1"/>
    <col min="6" max="6" width="10.1640625" customWidth="1"/>
    <col min="7" max="7" width="8" customWidth="1"/>
    <col min="8" max="8" width="9.58203125" customWidth="1"/>
    <col min="9" max="9" width="12.6640625" customWidth="1"/>
    <col min="10" max="10" width="9.1640625" bestFit="1" customWidth="1"/>
  </cols>
  <sheetData>
    <row r="1" spans="1:9" s="1" customFormat="1" ht="20" customHeight="1" thickTop="1" x14ac:dyDescent="0.25">
      <c r="A1" s="114" t="s">
        <v>23</v>
      </c>
      <c r="B1" s="115"/>
      <c r="C1" s="115"/>
      <c r="D1" s="115"/>
      <c r="E1" s="115"/>
      <c r="F1" s="115"/>
      <c r="G1" s="115"/>
      <c r="H1" s="115"/>
      <c r="I1" s="116"/>
    </row>
    <row r="2" spans="1:9" s="1" customFormat="1" ht="20" customHeight="1" thickBot="1" x14ac:dyDescent="0.3">
      <c r="A2" s="117"/>
      <c r="B2" s="118"/>
      <c r="C2" s="118"/>
      <c r="D2" s="118"/>
      <c r="E2" s="118"/>
      <c r="F2" s="118"/>
      <c r="G2" s="118"/>
      <c r="H2" s="118"/>
      <c r="I2" s="119"/>
    </row>
    <row r="3" spans="1:9" s="1" customFormat="1" ht="20" customHeight="1" thickTop="1" x14ac:dyDescent="0.25">
      <c r="A3" s="5" t="str">
        <f>INVOICE!A3</f>
        <v>SHIPPER/MANUFACTURER</v>
      </c>
      <c r="B3" s="6"/>
      <c r="C3" s="6"/>
      <c r="D3" s="6"/>
      <c r="E3" s="7"/>
      <c r="F3" s="5" t="str">
        <f>INVOICE!F3</f>
        <v>INVOICE NO : TS-260504-01</v>
      </c>
      <c r="G3" s="6"/>
      <c r="H3" s="6"/>
      <c r="I3" s="7"/>
    </row>
    <row r="4" spans="1:9" s="1" customFormat="1" ht="20" customHeight="1" thickBot="1" x14ac:dyDescent="0.3">
      <c r="A4" s="71" t="str">
        <f>INVOICE!A4</f>
        <v>DAEYANG ELECTRIC CO LTD</v>
      </c>
      <c r="B4" s="69"/>
      <c r="C4" s="69"/>
      <c r="D4" s="69"/>
      <c r="E4" s="8"/>
      <c r="F4" s="29" t="str">
        <f>INVOICE!F4</f>
        <v>INVOICE DATE : 4th.May.2026</v>
      </c>
      <c r="G4" s="70"/>
      <c r="H4" s="70"/>
      <c r="I4" s="9"/>
    </row>
    <row r="5" spans="1:9" s="1" customFormat="1" ht="20" customHeight="1" thickTop="1" x14ac:dyDescent="0.25">
      <c r="A5" s="71" t="str">
        <f>INVOICE!A5</f>
        <v xml:space="preserve">16 Venture-ro 100beon-gil, Yeonsu-gu, </v>
      </c>
      <c r="B5" s="70"/>
      <c r="C5" s="70"/>
      <c r="D5" s="70"/>
      <c r="E5" s="9"/>
      <c r="F5" s="37" t="s">
        <v>58</v>
      </c>
      <c r="G5" s="6"/>
      <c r="H5" s="6"/>
      <c r="I5" s="7"/>
    </row>
    <row r="6" spans="1:9" s="1" customFormat="1" ht="20" customHeight="1" x14ac:dyDescent="0.25">
      <c r="A6" s="71" t="str">
        <f>INVOICE!A6</f>
        <v>Incheon, SOUTH KOREA. (22013)</v>
      </c>
      <c r="B6" s="70"/>
      <c r="C6" s="70"/>
      <c r="D6" s="70"/>
      <c r="E6" s="9"/>
      <c r="F6" s="123" t="s">
        <v>60</v>
      </c>
      <c r="G6" s="124"/>
      <c r="H6" s="124"/>
      <c r="I6" s="125"/>
    </row>
    <row r="7" spans="1:9" s="1" customFormat="1" ht="20" customHeight="1" x14ac:dyDescent="0.25">
      <c r="A7" s="71" t="str">
        <f>INVOICE!A7</f>
        <v>TEL: +82 32 830 5520</v>
      </c>
      <c r="B7" s="70"/>
      <c r="C7" s="70"/>
      <c r="D7" s="70"/>
      <c r="E7" s="9"/>
      <c r="F7" s="123"/>
      <c r="G7" s="124"/>
      <c r="H7" s="124"/>
      <c r="I7" s="125"/>
    </row>
    <row r="8" spans="1:9" s="1" customFormat="1" ht="20" customHeight="1" thickBot="1" x14ac:dyDescent="0.3">
      <c r="A8" s="10" t="str">
        <f>INVOICE!A8</f>
        <v>FAX: +82 32 830 5509</v>
      </c>
      <c r="B8" s="11"/>
      <c r="C8" s="11"/>
      <c r="D8" s="11"/>
      <c r="E8" s="12"/>
      <c r="F8" s="38" t="s">
        <v>59</v>
      </c>
      <c r="G8" s="64"/>
      <c r="H8" s="64"/>
      <c r="I8" s="65"/>
    </row>
    <row r="9" spans="1:9" s="1" customFormat="1" ht="20" customHeight="1" thickTop="1" x14ac:dyDescent="0.25">
      <c r="A9" s="5" t="s">
        <v>0</v>
      </c>
      <c r="B9" s="6"/>
      <c r="C9" s="6"/>
      <c r="D9" s="6"/>
      <c r="E9" s="7"/>
      <c r="F9" s="14" t="s">
        <v>1</v>
      </c>
      <c r="G9" s="70"/>
      <c r="H9" s="70"/>
      <c r="I9" s="9"/>
    </row>
    <row r="10" spans="1:9" s="1" customFormat="1" ht="20" customHeight="1" x14ac:dyDescent="0.25">
      <c r="A10" s="120" t="s">
        <v>44</v>
      </c>
      <c r="B10" s="121"/>
      <c r="C10" s="121"/>
      <c r="D10" s="121"/>
      <c r="E10" s="122"/>
      <c r="F10" s="70"/>
      <c r="G10" s="70"/>
      <c r="H10" s="70"/>
      <c r="I10" s="9"/>
    </row>
    <row r="11" spans="1:9" s="1" customFormat="1" ht="20" customHeight="1" x14ac:dyDescent="0.25">
      <c r="A11" s="120" t="s">
        <v>45</v>
      </c>
      <c r="B11" s="121"/>
      <c r="C11" s="121"/>
      <c r="D11" s="121"/>
      <c r="E11" s="122"/>
      <c r="F11" s="70"/>
      <c r="G11" s="70"/>
      <c r="H11" s="70"/>
      <c r="I11" s="9"/>
    </row>
    <row r="12" spans="1:9" s="1" customFormat="1" ht="20" customHeight="1" x14ac:dyDescent="0.25">
      <c r="A12" s="120" t="s">
        <v>46</v>
      </c>
      <c r="B12" s="121"/>
      <c r="C12" s="121"/>
      <c r="D12" s="121"/>
      <c r="E12" s="122"/>
      <c r="F12" s="70" t="s">
        <v>2</v>
      </c>
      <c r="G12" s="70"/>
      <c r="H12" s="70"/>
      <c r="I12" s="9"/>
    </row>
    <row r="13" spans="1:9" s="1" customFormat="1" ht="20" customHeight="1" x14ac:dyDescent="0.25">
      <c r="A13" s="128" t="s">
        <v>47</v>
      </c>
      <c r="B13" s="121"/>
      <c r="C13" s="121"/>
      <c r="D13" s="121"/>
      <c r="E13" s="122"/>
      <c r="F13" s="70"/>
      <c r="G13" s="70"/>
      <c r="H13" s="70"/>
      <c r="I13" s="9"/>
    </row>
    <row r="14" spans="1:9" s="1" customFormat="1" ht="20" customHeight="1" x14ac:dyDescent="0.25">
      <c r="A14" s="129" t="s">
        <v>50</v>
      </c>
      <c r="B14" s="130"/>
      <c r="C14" s="130"/>
      <c r="D14" s="130"/>
      <c r="E14" s="131"/>
      <c r="F14" s="70"/>
      <c r="G14" s="70"/>
      <c r="H14" s="70"/>
      <c r="I14" s="9"/>
    </row>
    <row r="15" spans="1:9" s="1" customFormat="1" ht="20" customHeight="1" thickBot="1" x14ac:dyDescent="0.3">
      <c r="A15" s="129"/>
      <c r="B15" s="130"/>
      <c r="C15" s="130"/>
      <c r="D15" s="130"/>
      <c r="E15" s="131"/>
      <c r="F15" s="70"/>
      <c r="G15" s="70"/>
      <c r="H15" s="70"/>
      <c r="I15" s="9"/>
    </row>
    <row r="16" spans="1:9" s="1" customFormat="1" ht="20" customHeight="1" thickTop="1" thickBot="1" x14ac:dyDescent="0.3">
      <c r="A16" s="150" t="s">
        <v>51</v>
      </c>
      <c r="B16" s="151"/>
      <c r="C16" s="151"/>
      <c r="D16" s="151"/>
      <c r="E16" s="152"/>
      <c r="F16" s="5" t="s">
        <v>13</v>
      </c>
      <c r="G16" s="6"/>
      <c r="H16" s="15" t="s">
        <v>20</v>
      </c>
      <c r="I16" s="7"/>
    </row>
    <row r="17" spans="1:11" s="1" customFormat="1" ht="20" customHeight="1" thickTop="1" thickBot="1" x14ac:dyDescent="0.3">
      <c r="A17" s="153"/>
      <c r="B17" s="154"/>
      <c r="C17" s="154"/>
      <c r="D17" s="154"/>
      <c r="E17" s="155"/>
      <c r="F17" s="132" t="s">
        <v>11</v>
      </c>
      <c r="G17" s="133"/>
      <c r="H17" s="134"/>
      <c r="I17" s="135"/>
    </row>
    <row r="18" spans="1:11" s="1" customFormat="1" ht="20" customHeight="1" thickTop="1" thickBot="1" x14ac:dyDescent="0.3">
      <c r="A18" s="16" t="s">
        <v>3</v>
      </c>
      <c r="B18" s="136" t="s">
        <v>12</v>
      </c>
      <c r="C18" s="136"/>
      <c r="D18" s="136"/>
      <c r="E18" s="17"/>
      <c r="F18" s="16" t="s">
        <v>5</v>
      </c>
      <c r="G18" s="137" t="s">
        <v>36</v>
      </c>
      <c r="H18" s="137"/>
      <c r="I18" s="156"/>
    </row>
    <row r="19" spans="1:11" s="1" customFormat="1" ht="20" customHeight="1" thickTop="1" x14ac:dyDescent="0.25">
      <c r="A19" s="162" t="s">
        <v>6</v>
      </c>
      <c r="B19" s="157" t="s">
        <v>7</v>
      </c>
      <c r="C19" s="138" t="s">
        <v>24</v>
      </c>
      <c r="D19" s="140"/>
      <c r="E19" s="164" t="s">
        <v>25</v>
      </c>
      <c r="F19" s="164" t="s">
        <v>26</v>
      </c>
      <c r="G19" s="144" t="s">
        <v>27</v>
      </c>
      <c r="H19" s="144" t="s">
        <v>28</v>
      </c>
      <c r="I19" s="126" t="s">
        <v>29</v>
      </c>
    </row>
    <row r="20" spans="1:11" s="1" customFormat="1" ht="20" customHeight="1" thickBot="1" x14ac:dyDescent="0.3">
      <c r="A20" s="163"/>
      <c r="B20" s="158"/>
      <c r="C20" s="141"/>
      <c r="D20" s="143"/>
      <c r="E20" s="165"/>
      <c r="F20" s="165"/>
      <c r="G20" s="145"/>
      <c r="H20" s="145"/>
      <c r="I20" s="127"/>
    </row>
    <row r="21" spans="1:11" s="1" customFormat="1" ht="20" customHeight="1" thickTop="1" x14ac:dyDescent="0.25">
      <c r="A21" s="83"/>
      <c r="B21" s="60">
        <v>1</v>
      </c>
      <c r="C21" s="166" t="s">
        <v>55</v>
      </c>
      <c r="D21" s="167"/>
      <c r="E21" s="57" t="s">
        <v>30</v>
      </c>
      <c r="F21" s="58">
        <f>INVOICE!G24</f>
        <v>2068</v>
      </c>
      <c r="G21" s="43">
        <v>5.2</v>
      </c>
      <c r="H21" s="41">
        <f>G21*F21</f>
        <v>10753.6</v>
      </c>
      <c r="I21" s="84"/>
    </row>
    <row r="22" spans="1:11" s="1" customFormat="1" ht="20" customHeight="1" x14ac:dyDescent="0.25">
      <c r="A22" s="83"/>
      <c r="B22" s="60">
        <v>2</v>
      </c>
      <c r="C22" s="166" t="s">
        <v>52</v>
      </c>
      <c r="D22" s="167"/>
      <c r="E22" s="57" t="s">
        <v>30</v>
      </c>
      <c r="F22" s="58">
        <f>INVOICE!G26</f>
        <v>53768</v>
      </c>
      <c r="G22" s="43">
        <v>5.2</v>
      </c>
      <c r="H22" s="41">
        <f t="shared" ref="H22" si="0">G22*F22</f>
        <v>279593.60000000003</v>
      </c>
      <c r="I22" s="84"/>
      <c r="J22" s="66"/>
      <c r="K22" s="67"/>
    </row>
    <row r="23" spans="1:11" s="1" customFormat="1" ht="20" customHeight="1" x14ac:dyDescent="0.25">
      <c r="A23" s="85"/>
      <c r="B23" s="60">
        <v>3</v>
      </c>
      <c r="C23" s="168" t="s">
        <v>31</v>
      </c>
      <c r="D23" s="169"/>
      <c r="E23" s="39" t="s">
        <v>30</v>
      </c>
      <c r="F23" s="50">
        <f>F24*11</f>
        <v>594</v>
      </c>
      <c r="G23" s="40">
        <v>155</v>
      </c>
      <c r="H23" s="41">
        <f t="shared" ref="H23" si="1">G23*F23</f>
        <v>92070</v>
      </c>
      <c r="I23" s="86"/>
    </row>
    <row r="24" spans="1:11" s="1" customFormat="1" ht="20" customHeight="1" x14ac:dyDescent="0.25">
      <c r="A24" s="85"/>
      <c r="B24" s="60">
        <v>4</v>
      </c>
      <c r="C24" s="170" t="s">
        <v>49</v>
      </c>
      <c r="D24" s="171"/>
      <c r="E24" s="55" t="s">
        <v>30</v>
      </c>
      <c r="F24" s="51">
        <f>(F21+F22)/1034</f>
        <v>54</v>
      </c>
      <c r="G24" s="43">
        <v>800</v>
      </c>
      <c r="H24" s="41">
        <f>G24*F24</f>
        <v>43200</v>
      </c>
      <c r="I24" s="81"/>
    </row>
    <row r="25" spans="1:11" s="1" customFormat="1" ht="20" customHeight="1" x14ac:dyDescent="0.25">
      <c r="A25" s="87"/>
      <c r="B25" s="60">
        <v>5</v>
      </c>
      <c r="C25" s="172" t="s">
        <v>53</v>
      </c>
      <c r="D25" s="173"/>
      <c r="E25" s="62" t="s">
        <v>30</v>
      </c>
      <c r="F25" s="51">
        <v>2</v>
      </c>
      <c r="G25" s="58">
        <v>7200</v>
      </c>
      <c r="H25" s="41">
        <f>G25*F25</f>
        <v>14400</v>
      </c>
      <c r="I25" s="81"/>
    </row>
    <row r="26" spans="1:11" s="1" customFormat="1" ht="20" customHeight="1" x14ac:dyDescent="0.25">
      <c r="A26" s="88"/>
      <c r="B26" s="159" t="s">
        <v>32</v>
      </c>
      <c r="C26" s="160"/>
      <c r="D26" s="160"/>
      <c r="E26" s="160"/>
      <c r="F26" s="160"/>
      <c r="G26" s="161"/>
      <c r="H26" s="52">
        <f>SUM(H21:H25)</f>
        <v>440017.2</v>
      </c>
      <c r="I26" s="82"/>
    </row>
    <row r="27" spans="1:11" s="1" customFormat="1" ht="15" customHeight="1" x14ac:dyDescent="0.25">
      <c r="A27" s="72"/>
      <c r="B27"/>
      <c r="C27"/>
      <c r="D27"/>
      <c r="E27"/>
      <c r="F27"/>
      <c r="G27"/>
      <c r="H27" s="78"/>
      <c r="I27" s="27"/>
    </row>
    <row r="28" spans="1:11" s="1" customFormat="1" ht="15" customHeight="1" x14ac:dyDescent="0.25">
      <c r="A28" s="13"/>
      <c r="B28"/>
      <c r="C28"/>
      <c r="D28"/>
      <c r="E28"/>
      <c r="F28"/>
      <c r="G28"/>
      <c r="H28" s="78"/>
      <c r="I28" s="27"/>
    </row>
    <row r="29" spans="1:11" s="1" customFormat="1" ht="15" customHeight="1" x14ac:dyDescent="0.25">
      <c r="A29" s="13"/>
      <c r="B29"/>
      <c r="C29"/>
      <c r="D29"/>
      <c r="E29"/>
      <c r="F29"/>
      <c r="G29"/>
      <c r="H29" s="78"/>
      <c r="I29" s="27"/>
    </row>
    <row r="30" spans="1:11" s="1" customFormat="1" ht="15" customHeight="1" x14ac:dyDescent="0.25">
      <c r="A30" s="13"/>
      <c r="B30"/>
      <c r="C30"/>
      <c r="D30"/>
      <c r="E30"/>
      <c r="F30"/>
      <c r="G30"/>
      <c r="H30" s="78"/>
      <c r="I30" s="27"/>
    </row>
    <row r="31" spans="1:11" s="1" customFormat="1" ht="15" customHeight="1" x14ac:dyDescent="0.25">
      <c r="A31" s="13"/>
      <c r="B31"/>
      <c r="C31"/>
      <c r="D31"/>
      <c r="E31"/>
      <c r="F31"/>
      <c r="G31"/>
      <c r="H31" s="78"/>
      <c r="I31" s="27"/>
    </row>
    <row r="32" spans="1:11" s="1" customFormat="1" ht="15" customHeight="1" thickBot="1" x14ac:dyDescent="0.3">
      <c r="A32" s="13"/>
      <c r="B32" s="76"/>
      <c r="C32" s="76"/>
      <c r="D32" s="80"/>
      <c r="E32" s="76"/>
      <c r="F32" s="28"/>
      <c r="G32" s="28"/>
      <c r="H32" s="28"/>
      <c r="I32" s="27"/>
    </row>
    <row r="33" spans="1:9" s="1" customFormat="1" ht="15" customHeight="1" thickBot="1" x14ac:dyDescent="0.3">
      <c r="A33" s="29"/>
      <c r="B33" s="30"/>
      <c r="C33" s="30"/>
      <c r="D33" s="31"/>
      <c r="E33" s="30"/>
      <c r="F33" s="32"/>
      <c r="G33" s="32"/>
      <c r="H33" s="32"/>
      <c r="I33" s="33"/>
    </row>
    <row r="34" spans="1:9" s="1" customFormat="1" ht="15" thickTop="1" x14ac:dyDescent="0.25">
      <c r="A34" s="3"/>
      <c r="B34" s="3"/>
      <c r="C34" s="3"/>
      <c r="D34" s="3"/>
      <c r="E34" s="3"/>
      <c r="F34" s="3"/>
      <c r="G34" s="3"/>
      <c r="H34" s="3"/>
      <c r="I34" s="3"/>
    </row>
    <row r="35" spans="1:9" s="1" customFormat="1" ht="14.5" x14ac:dyDescent="0.25">
      <c r="A35" s="3"/>
      <c r="B35" s="3"/>
      <c r="C35" s="3"/>
      <c r="D35" s="3"/>
      <c r="E35" s="3"/>
      <c r="F35" s="3"/>
      <c r="G35" s="3"/>
      <c r="H35" s="3"/>
      <c r="I35" s="3"/>
    </row>
    <row r="36" spans="1:9" s="1" customFormat="1" ht="14.5" x14ac:dyDescent="0.25">
      <c r="A36" s="3"/>
      <c r="B36" s="3"/>
      <c r="C36" s="3"/>
      <c r="D36" s="3"/>
      <c r="E36" s="3"/>
      <c r="F36" s="3"/>
      <c r="G36" s="3"/>
      <c r="H36" s="3"/>
      <c r="I36" s="3"/>
    </row>
    <row r="37" spans="1:9" s="1" customFormat="1" ht="14.5" x14ac:dyDescent="0.25">
      <c r="A37" s="3"/>
      <c r="B37" s="3"/>
      <c r="C37" s="3"/>
      <c r="D37" s="3"/>
      <c r="E37" s="3"/>
      <c r="F37" s="3"/>
      <c r="G37" s="3"/>
      <c r="H37" s="3"/>
      <c r="I37" s="3"/>
    </row>
    <row r="38" spans="1:9" s="1" customFormat="1" ht="14.5" x14ac:dyDescent="0.25">
      <c r="A38" s="3"/>
      <c r="B38" s="3"/>
      <c r="C38" s="3"/>
      <c r="D38" s="3"/>
      <c r="E38" s="3"/>
      <c r="F38" s="3"/>
      <c r="G38" s="3"/>
      <c r="H38" s="3"/>
      <c r="I38" s="3"/>
    </row>
    <row r="39" spans="1:9" s="1" customFormat="1" ht="14.5" x14ac:dyDescent="0.25">
      <c r="A39" s="3"/>
      <c r="B39" s="3"/>
      <c r="C39" s="3"/>
      <c r="D39" s="3"/>
      <c r="E39" s="3"/>
      <c r="F39" s="3"/>
      <c r="G39" s="3"/>
      <c r="H39" s="3"/>
      <c r="I39" s="3"/>
    </row>
    <row r="40" spans="1:9" s="1" customFormat="1" ht="14.5" x14ac:dyDescent="0.25">
      <c r="A40" s="3"/>
      <c r="B40" s="3"/>
      <c r="C40" s="3"/>
      <c r="D40" s="3"/>
      <c r="E40" s="3"/>
      <c r="F40" s="3"/>
      <c r="G40" s="3"/>
      <c r="H40" s="3"/>
      <c r="I40" s="3"/>
    </row>
    <row r="41" spans="1:9" s="1" customFormat="1" ht="14.5" x14ac:dyDescent="0.25">
      <c r="A41" s="3"/>
      <c r="B41" s="3"/>
      <c r="C41" s="3"/>
      <c r="D41" s="3"/>
      <c r="E41" s="3"/>
      <c r="F41" s="3"/>
      <c r="G41" s="3"/>
      <c r="H41" s="3"/>
      <c r="I41" s="3"/>
    </row>
    <row r="42" spans="1:9" s="1" customFormat="1" ht="14.5" x14ac:dyDescent="0.25">
      <c r="A42" s="3"/>
      <c r="B42" s="3"/>
      <c r="C42" s="3"/>
      <c r="D42" s="3"/>
      <c r="E42" s="3"/>
      <c r="F42" s="3"/>
      <c r="G42" s="3"/>
      <c r="H42" s="3"/>
      <c r="I42" s="3"/>
    </row>
    <row r="43" spans="1:9" s="1" customFormat="1" ht="14.5" x14ac:dyDescent="0.25">
      <c r="A43" s="3"/>
      <c r="B43" s="3"/>
      <c r="C43" s="3"/>
      <c r="D43" s="3"/>
      <c r="E43" s="3"/>
      <c r="F43" s="3"/>
      <c r="G43" s="3"/>
      <c r="H43" s="3"/>
      <c r="I43" s="3"/>
    </row>
    <row r="44" spans="1:9" s="1" customFormat="1" ht="14.5" x14ac:dyDescent="0.25">
      <c r="A44" s="3"/>
      <c r="B44" s="3"/>
      <c r="C44" s="3"/>
      <c r="D44" s="3"/>
      <c r="E44" s="3"/>
      <c r="F44" s="3"/>
      <c r="G44" s="3"/>
      <c r="H44" s="3"/>
      <c r="I44" s="3"/>
    </row>
    <row r="45" spans="1:9" ht="15" x14ac:dyDescent="0.35">
      <c r="A45" s="4"/>
      <c r="B45" s="4"/>
      <c r="C45" s="4"/>
      <c r="D45" s="4"/>
      <c r="E45" s="4"/>
      <c r="F45" s="4"/>
      <c r="G45" s="4"/>
      <c r="H45" s="4"/>
      <c r="I45" s="4"/>
    </row>
    <row r="46" spans="1:9" ht="15" x14ac:dyDescent="0.35">
      <c r="A46" s="4"/>
      <c r="B46" s="4"/>
      <c r="C46" s="4"/>
      <c r="D46" s="4"/>
      <c r="E46" s="4"/>
      <c r="F46" s="4"/>
      <c r="G46" s="4"/>
      <c r="H46" s="4"/>
      <c r="I46" s="4"/>
    </row>
    <row r="47" spans="1:9" ht="15" x14ac:dyDescent="0.35">
      <c r="A47" s="4"/>
      <c r="B47" s="4"/>
      <c r="C47" s="4"/>
      <c r="D47" s="4"/>
      <c r="E47" s="4"/>
      <c r="F47" s="4"/>
      <c r="G47" s="4"/>
      <c r="H47" s="4"/>
      <c r="I47" s="4"/>
    </row>
    <row r="48" spans="1:9" ht="15" x14ac:dyDescent="0.35">
      <c r="A48" s="4"/>
      <c r="B48" s="4"/>
      <c r="C48" s="4"/>
      <c r="D48" s="4"/>
      <c r="E48" s="4"/>
      <c r="F48" s="4"/>
      <c r="G48" s="4"/>
      <c r="H48" s="4"/>
      <c r="I48" s="4"/>
    </row>
    <row r="49" spans="1:9" ht="15" x14ac:dyDescent="0.35">
      <c r="A49" s="4"/>
      <c r="B49" s="4"/>
      <c r="C49" s="4"/>
      <c r="D49" s="4"/>
      <c r="E49" s="4"/>
      <c r="F49" s="4"/>
      <c r="G49" s="4"/>
      <c r="H49" s="4"/>
      <c r="I49" s="4"/>
    </row>
    <row r="50" spans="1:9" ht="15" x14ac:dyDescent="0.35">
      <c r="A50" s="4"/>
      <c r="B50" s="4"/>
      <c r="C50" s="4"/>
      <c r="D50" s="4"/>
      <c r="E50" s="4"/>
      <c r="F50" s="4"/>
      <c r="G50" s="4"/>
      <c r="H50" s="4"/>
      <c r="I50" s="4"/>
    </row>
    <row r="51" spans="1:9" ht="15" x14ac:dyDescent="0.35">
      <c r="A51" s="4"/>
      <c r="B51" s="4"/>
      <c r="C51" s="4"/>
      <c r="D51" s="4"/>
      <c r="E51" s="4"/>
      <c r="F51" s="4"/>
      <c r="G51" s="4"/>
      <c r="H51" s="4"/>
      <c r="I51" s="4"/>
    </row>
    <row r="52" spans="1:9" ht="15" x14ac:dyDescent="0.35">
      <c r="A52" s="4"/>
      <c r="B52" s="4"/>
      <c r="C52" s="4"/>
      <c r="D52" s="4"/>
      <c r="E52" s="4"/>
      <c r="F52" s="4"/>
      <c r="G52" s="4"/>
      <c r="H52" s="4"/>
      <c r="I52" s="4"/>
    </row>
    <row r="53" spans="1:9" ht="15" x14ac:dyDescent="0.35">
      <c r="A53" s="4"/>
      <c r="B53" s="4"/>
      <c r="C53" s="4"/>
      <c r="D53" s="4"/>
      <c r="E53" s="4"/>
      <c r="F53" s="4"/>
      <c r="G53" s="4"/>
      <c r="H53" s="4"/>
      <c r="I53" s="4"/>
    </row>
    <row r="54" spans="1:9" ht="15" x14ac:dyDescent="0.35">
      <c r="A54" s="4"/>
      <c r="B54" s="4"/>
      <c r="C54" s="4"/>
      <c r="D54" s="4"/>
      <c r="E54" s="4"/>
      <c r="F54" s="4"/>
      <c r="G54" s="4"/>
      <c r="H54" s="4"/>
      <c r="I54" s="4"/>
    </row>
    <row r="55" spans="1:9" ht="15" x14ac:dyDescent="0.35">
      <c r="A55" s="4"/>
      <c r="B55" s="4"/>
      <c r="C55" s="4"/>
      <c r="D55" s="4"/>
      <c r="E55" s="4"/>
      <c r="F55" s="4"/>
      <c r="G55" s="4"/>
      <c r="H55" s="4"/>
      <c r="I55" s="4"/>
    </row>
    <row r="56" spans="1:9" ht="15" x14ac:dyDescent="0.35">
      <c r="A56" s="4"/>
      <c r="B56" s="4"/>
      <c r="C56" s="4"/>
      <c r="D56" s="4"/>
      <c r="E56" s="4"/>
      <c r="F56" s="4"/>
      <c r="G56" s="4"/>
      <c r="H56" s="4"/>
      <c r="I56" s="4"/>
    </row>
    <row r="57" spans="1:9" ht="15" x14ac:dyDescent="0.35">
      <c r="A57" s="4"/>
      <c r="B57" s="4"/>
      <c r="C57" s="4"/>
      <c r="D57" s="4"/>
      <c r="E57" s="4"/>
      <c r="F57" s="4"/>
      <c r="G57" s="4"/>
      <c r="H57" s="4"/>
      <c r="I57" s="4"/>
    </row>
    <row r="58" spans="1:9" ht="15" x14ac:dyDescent="0.35">
      <c r="A58" s="4"/>
      <c r="B58" s="4"/>
      <c r="C58" s="4"/>
      <c r="D58" s="4"/>
      <c r="E58" s="4"/>
      <c r="F58" s="4"/>
      <c r="G58" s="4"/>
      <c r="H58" s="4"/>
      <c r="I58" s="4"/>
    </row>
    <row r="59" spans="1:9" ht="15" x14ac:dyDescent="0.35">
      <c r="A59" s="4"/>
      <c r="B59" s="4"/>
      <c r="C59" s="4"/>
      <c r="D59" s="4"/>
      <c r="E59" s="4"/>
      <c r="F59" s="4"/>
      <c r="G59" s="4"/>
      <c r="H59" s="4"/>
      <c r="I59" s="4"/>
    </row>
    <row r="60" spans="1:9" ht="15" x14ac:dyDescent="0.35">
      <c r="A60" s="4"/>
      <c r="B60" s="4"/>
      <c r="C60" s="4"/>
      <c r="D60" s="4"/>
      <c r="E60" s="4"/>
      <c r="F60" s="4"/>
      <c r="G60" s="4"/>
      <c r="H60" s="4"/>
      <c r="I60" s="4"/>
    </row>
    <row r="61" spans="1:9" ht="15" x14ac:dyDescent="0.35">
      <c r="A61" s="4"/>
      <c r="B61" s="4"/>
      <c r="C61" s="4"/>
      <c r="D61" s="4"/>
      <c r="E61" s="4"/>
      <c r="F61" s="4"/>
      <c r="G61" s="4"/>
      <c r="H61" s="4"/>
      <c r="I61" s="4"/>
    </row>
    <row r="62" spans="1:9" ht="15" x14ac:dyDescent="0.35">
      <c r="A62" s="4"/>
      <c r="B62" s="4"/>
      <c r="C62" s="4"/>
      <c r="D62" s="4"/>
      <c r="E62" s="4"/>
      <c r="F62" s="4"/>
      <c r="G62" s="4"/>
      <c r="H62" s="4"/>
      <c r="I62" s="4"/>
    </row>
    <row r="63" spans="1:9" ht="15" x14ac:dyDescent="0.35">
      <c r="A63" s="4"/>
      <c r="B63" s="4"/>
      <c r="C63" s="4"/>
      <c r="D63" s="4"/>
      <c r="E63" s="4"/>
      <c r="F63" s="4"/>
      <c r="G63" s="4"/>
      <c r="H63" s="4"/>
      <c r="I63" s="4"/>
    </row>
    <row r="64" spans="1:9" ht="15" x14ac:dyDescent="0.35">
      <c r="A64" s="4"/>
      <c r="B64" s="4"/>
      <c r="C64" s="4"/>
      <c r="D64" s="4"/>
      <c r="E64" s="4"/>
      <c r="F64" s="4"/>
      <c r="G64" s="4"/>
      <c r="H64" s="4"/>
      <c r="I64" s="4"/>
    </row>
    <row r="65" spans="1:9" ht="15" x14ac:dyDescent="0.35">
      <c r="A65" s="4"/>
      <c r="B65" s="4"/>
      <c r="C65" s="4"/>
      <c r="D65" s="4"/>
      <c r="E65" s="4"/>
      <c r="F65" s="4"/>
      <c r="G65" s="4"/>
      <c r="H65" s="4"/>
      <c r="I65" s="4"/>
    </row>
    <row r="66" spans="1:9" ht="15" x14ac:dyDescent="0.35">
      <c r="A66" s="4"/>
      <c r="B66" s="4"/>
      <c r="C66" s="4"/>
      <c r="D66" s="4"/>
      <c r="E66" s="4"/>
      <c r="F66" s="4"/>
      <c r="G66" s="4"/>
      <c r="H66" s="4"/>
      <c r="I66" s="4"/>
    </row>
    <row r="67" spans="1:9" ht="15" x14ac:dyDescent="0.35">
      <c r="A67" s="4"/>
      <c r="B67" s="4"/>
      <c r="C67" s="4"/>
      <c r="D67" s="4"/>
      <c r="E67" s="4"/>
      <c r="F67" s="4"/>
      <c r="G67" s="4"/>
      <c r="H67" s="4"/>
      <c r="I67" s="4"/>
    </row>
    <row r="68" spans="1:9" ht="15" x14ac:dyDescent="0.35">
      <c r="A68" s="4"/>
      <c r="B68" s="4"/>
      <c r="C68" s="4"/>
      <c r="D68" s="4"/>
      <c r="E68" s="4"/>
      <c r="F68" s="4"/>
      <c r="G68" s="4"/>
      <c r="H68" s="4"/>
      <c r="I68" s="4"/>
    </row>
    <row r="69" spans="1:9" ht="15" x14ac:dyDescent="0.35">
      <c r="A69" s="4"/>
      <c r="B69" s="4"/>
      <c r="C69" s="4"/>
      <c r="D69" s="4"/>
      <c r="E69" s="4"/>
      <c r="F69" s="4"/>
      <c r="G69" s="4"/>
      <c r="H69" s="4"/>
      <c r="I69" s="4"/>
    </row>
    <row r="70" spans="1:9" ht="15" x14ac:dyDescent="0.35">
      <c r="A70" s="4"/>
      <c r="B70" s="4"/>
      <c r="C70" s="4"/>
      <c r="D70" s="4"/>
      <c r="E70" s="4"/>
      <c r="F70" s="4"/>
      <c r="G70" s="4"/>
      <c r="H70" s="4"/>
      <c r="I70" s="4"/>
    </row>
    <row r="71" spans="1:9" ht="15" x14ac:dyDescent="0.35">
      <c r="A71" s="4"/>
      <c r="B71" s="4"/>
      <c r="C71" s="4"/>
      <c r="D71" s="4"/>
      <c r="E71" s="4"/>
      <c r="F71" s="4"/>
      <c r="G71" s="4"/>
      <c r="H71" s="4"/>
      <c r="I71" s="4"/>
    </row>
    <row r="72" spans="1:9" ht="15" x14ac:dyDescent="0.35">
      <c r="A72" s="4"/>
      <c r="B72" s="4"/>
      <c r="C72" s="4"/>
      <c r="D72" s="4"/>
      <c r="E72" s="4"/>
      <c r="F72" s="4"/>
      <c r="G72" s="4"/>
      <c r="H72" s="4"/>
      <c r="I72" s="4"/>
    </row>
    <row r="73" spans="1:9" ht="15" x14ac:dyDescent="0.35">
      <c r="A73" s="4"/>
      <c r="B73" s="4"/>
      <c r="C73" s="4"/>
      <c r="D73" s="4"/>
      <c r="E73" s="4"/>
      <c r="F73" s="4"/>
      <c r="G73" s="4"/>
      <c r="H73" s="4"/>
      <c r="I73" s="4"/>
    </row>
    <row r="74" spans="1:9" ht="15" x14ac:dyDescent="0.35">
      <c r="A74" s="4"/>
      <c r="B74" s="4"/>
      <c r="C74" s="4"/>
      <c r="D74" s="4"/>
      <c r="E74" s="4"/>
      <c r="F74" s="4"/>
      <c r="G74" s="4"/>
      <c r="H74" s="4"/>
      <c r="I74" s="4"/>
    </row>
    <row r="75" spans="1:9" ht="15" x14ac:dyDescent="0.35">
      <c r="A75" s="4"/>
      <c r="B75" s="4"/>
      <c r="C75" s="4"/>
      <c r="D75" s="4"/>
      <c r="E75" s="4"/>
      <c r="F75" s="4"/>
      <c r="G75" s="4"/>
      <c r="H75" s="4"/>
      <c r="I75" s="4"/>
    </row>
    <row r="76" spans="1:9" ht="15" x14ac:dyDescent="0.35">
      <c r="A76" s="4"/>
      <c r="B76" s="4"/>
      <c r="C76" s="4"/>
      <c r="D76" s="4"/>
      <c r="E76" s="4"/>
      <c r="F76" s="4"/>
      <c r="G76" s="4"/>
      <c r="H76" s="4"/>
      <c r="I76" s="4"/>
    </row>
    <row r="77" spans="1:9" ht="15" x14ac:dyDescent="0.35">
      <c r="A77" s="4"/>
      <c r="B77" s="4"/>
      <c r="C77" s="4"/>
      <c r="D77" s="4"/>
      <c r="E77" s="4"/>
      <c r="F77" s="4"/>
      <c r="G77" s="4"/>
      <c r="H77" s="4"/>
      <c r="I77" s="4"/>
    </row>
    <row r="78" spans="1:9" ht="15" x14ac:dyDescent="0.35">
      <c r="A78" s="4"/>
      <c r="B78" s="4"/>
      <c r="C78" s="4"/>
      <c r="D78" s="4"/>
      <c r="E78" s="4"/>
      <c r="F78" s="4"/>
      <c r="G78" s="4"/>
      <c r="H78" s="4"/>
      <c r="I78" s="4"/>
    </row>
    <row r="79" spans="1:9" ht="15" x14ac:dyDescent="0.35">
      <c r="A79" s="4"/>
      <c r="B79" s="4"/>
      <c r="C79" s="4"/>
      <c r="D79" s="4"/>
      <c r="E79" s="4"/>
      <c r="F79" s="4"/>
      <c r="G79" s="4"/>
      <c r="H79" s="4"/>
      <c r="I79" s="4"/>
    </row>
    <row r="80" spans="1:9" ht="15" x14ac:dyDescent="0.35">
      <c r="A80" s="4"/>
      <c r="B80" s="4"/>
      <c r="C80" s="4"/>
      <c r="D80" s="4"/>
      <c r="E80" s="4"/>
      <c r="F80" s="4"/>
      <c r="G80" s="4"/>
      <c r="H80" s="4"/>
      <c r="I80" s="4"/>
    </row>
    <row r="81" spans="1:9" ht="15" x14ac:dyDescent="0.35">
      <c r="A81" s="4"/>
      <c r="B81" s="4"/>
      <c r="C81" s="4"/>
      <c r="D81" s="4"/>
      <c r="E81" s="4"/>
      <c r="F81" s="4"/>
      <c r="G81" s="4"/>
      <c r="H81" s="4"/>
      <c r="I81" s="4"/>
    </row>
    <row r="82" spans="1:9" ht="15" x14ac:dyDescent="0.35">
      <c r="A82" s="4"/>
      <c r="B82" s="4"/>
      <c r="C82" s="4"/>
      <c r="D82" s="4"/>
      <c r="E82" s="4"/>
      <c r="F82" s="4"/>
      <c r="G82" s="4"/>
      <c r="H82" s="4"/>
      <c r="I82" s="4"/>
    </row>
    <row r="83" spans="1:9" ht="15" x14ac:dyDescent="0.35">
      <c r="A83" s="4"/>
      <c r="B83" s="4"/>
      <c r="C83" s="4"/>
      <c r="D83" s="4"/>
      <c r="E83" s="4"/>
      <c r="F83" s="4"/>
      <c r="G83" s="4"/>
      <c r="H83" s="4"/>
      <c r="I83" s="4"/>
    </row>
    <row r="84" spans="1:9" ht="15" x14ac:dyDescent="0.35">
      <c r="A84" s="4"/>
      <c r="B84" s="4"/>
      <c r="C84" s="4"/>
      <c r="D84" s="4"/>
      <c r="E84" s="4"/>
      <c r="F84" s="4"/>
      <c r="G84" s="4"/>
      <c r="H84" s="4"/>
      <c r="I84" s="4"/>
    </row>
    <row r="85" spans="1:9" ht="15" x14ac:dyDescent="0.35">
      <c r="A85" s="4"/>
      <c r="B85" s="4"/>
      <c r="C85" s="4"/>
      <c r="D85" s="4"/>
      <c r="E85" s="4"/>
      <c r="F85" s="4"/>
      <c r="G85" s="4"/>
      <c r="H85" s="4"/>
      <c r="I85" s="4"/>
    </row>
    <row r="86" spans="1:9" ht="15" x14ac:dyDescent="0.35">
      <c r="A86" s="4"/>
      <c r="B86" s="4"/>
      <c r="C86" s="4"/>
      <c r="D86" s="4"/>
      <c r="E86" s="4"/>
      <c r="F86" s="4"/>
      <c r="G86" s="4"/>
      <c r="H86" s="4"/>
      <c r="I86" s="4"/>
    </row>
    <row r="87" spans="1:9" ht="15" x14ac:dyDescent="0.35">
      <c r="A87" s="4"/>
      <c r="B87" s="4"/>
      <c r="C87" s="4"/>
      <c r="D87" s="4"/>
      <c r="E87" s="4"/>
      <c r="F87" s="4"/>
      <c r="G87" s="4"/>
      <c r="H87" s="4"/>
      <c r="I87" s="4"/>
    </row>
    <row r="88" spans="1:9" ht="15" x14ac:dyDescent="0.35">
      <c r="A88" s="4"/>
      <c r="B88" s="4"/>
      <c r="C88" s="4"/>
      <c r="D88" s="4"/>
      <c r="E88" s="4"/>
      <c r="F88" s="4"/>
      <c r="G88" s="4"/>
      <c r="H88" s="4"/>
      <c r="I88" s="4"/>
    </row>
  </sheetData>
  <mergeCells count="26">
    <mergeCell ref="B26:G26"/>
    <mergeCell ref="A19:A20"/>
    <mergeCell ref="H19:H20"/>
    <mergeCell ref="I19:I20"/>
    <mergeCell ref="C19:D20"/>
    <mergeCell ref="E19:E20"/>
    <mergeCell ref="F19:F20"/>
    <mergeCell ref="G19:G20"/>
    <mergeCell ref="C21:D21"/>
    <mergeCell ref="C23:D23"/>
    <mergeCell ref="C24:D24"/>
    <mergeCell ref="C25:D25"/>
    <mergeCell ref="C22:D22"/>
    <mergeCell ref="B18:D18"/>
    <mergeCell ref="G18:I18"/>
    <mergeCell ref="B19:B20"/>
    <mergeCell ref="A1:I2"/>
    <mergeCell ref="A10:E10"/>
    <mergeCell ref="A11:E11"/>
    <mergeCell ref="A12:E12"/>
    <mergeCell ref="A13:E13"/>
    <mergeCell ref="A14:E14"/>
    <mergeCell ref="A15:E15"/>
    <mergeCell ref="F17:I17"/>
    <mergeCell ref="A16:E17"/>
    <mergeCell ref="F6:I7"/>
  </mergeCells>
  <phoneticPr fontId="2" type="noConversion"/>
  <printOptions horizontalCentered="1"/>
  <pageMargins left="0.70866141732283472" right="0.70866141732283472" top="0.94488188976377963" bottom="0.74803149606299213" header="0.31496062992125984" footer="0.31496062992125984"/>
  <pageSetup paperSize="9" scale="92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INVOICE</vt:lpstr>
      <vt:lpstr>Packing list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이진호</dc:creator>
  <cp:lastModifiedBy>김서정</cp:lastModifiedBy>
  <cp:lastPrinted>2026-02-18T23:22:25Z</cp:lastPrinted>
  <dcterms:created xsi:type="dcterms:W3CDTF">2013-10-23T08:04:15Z</dcterms:created>
  <dcterms:modified xsi:type="dcterms:W3CDTF">2026-04-27T04:07:08Z</dcterms:modified>
</cp:coreProperties>
</file>