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695" yWindow="0" windowWidth="14610" windowHeight="17385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Packing list" sheetId="2" state="visible" r:id="rId2"/>
  </sheets>
  <definedNames>
    <definedName name="_xlnm.Print_Area" localSheetId="1">'Packing list'!$A$1:$I$33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_-;\-* #,##0_-;_-* &quot;-&quot;_-;_-@_-"/>
    <numFmt numFmtId="165" formatCode="_-* #,##0.00_-;\-* #,##0.00_-;_-* &quot;-&quot;_-;_-@_-"/>
    <numFmt numFmtId="166" formatCode="0.00_ "/>
    <numFmt numFmtId="167" formatCode="#,##0_ "/>
    <numFmt numFmtId="168" formatCode="#,##0_);[Red]\(#,##0\)"/>
    <numFmt numFmtId="169" formatCode="\$#,##0.00"/>
    <numFmt numFmtId="170" formatCode="0.0"/>
    <numFmt numFmtId="171" formatCode="0.000"/>
  </numFmts>
  <fonts count="14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Garamond"/>
      <family val="1"/>
      <sz val="10"/>
    </font>
    <font>
      <name val="Garamond"/>
      <family val="1"/>
      <sz val="11"/>
    </font>
    <font>
      <name val="굴림"/>
      <charset val="129"/>
      <family val="3"/>
      <b val="1"/>
      <sz val="20"/>
    </font>
    <font>
      <name val="굴림"/>
      <charset val="129"/>
      <family val="3"/>
      <b val="1"/>
      <sz val="10"/>
    </font>
    <font>
      <name val="굴림"/>
      <charset val="129"/>
      <family val="3"/>
      <sz val="10"/>
    </font>
    <font>
      <name val="굴림"/>
      <charset val="129"/>
      <family val="3"/>
      <sz val="11"/>
    </font>
    <font>
      <name val="굴림"/>
      <charset val="129"/>
      <family val="3"/>
      <b val="1"/>
      <sz val="11"/>
    </font>
    <font>
      <name val="굴림"/>
      <charset val="129"/>
      <family val="3"/>
      <b val="1"/>
      <sz val="12"/>
    </font>
    <font>
      <name val="굴림"/>
      <charset val="129"/>
      <family val="3"/>
      <b val="1"/>
      <color theme="1"/>
      <sz val="10"/>
    </font>
    <font>
      <name val="굴림"/>
      <charset val="129"/>
      <family val="3"/>
      <color theme="1"/>
      <sz val="10"/>
    </font>
    <font>
      <name val="굴림"/>
      <charset val="129"/>
      <family val="3"/>
      <color rgb="FFFF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1" fillId="0" borderId="0"/>
    <xf numFmtId="41" fontId="1" fillId="0" borderId="0"/>
  </cellStyleXfs>
  <cellXfs count="23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6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8" applyAlignment="1" pivotButton="0" quotePrefix="0" xfId="0">
      <alignment horizontal="left" vertical="center"/>
    </xf>
    <xf numFmtId="0" fontId="7" fillId="0" borderId="8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164" fontId="7" fillId="0" borderId="12" applyAlignment="1" pivotButton="0" quotePrefix="0" xfId="1">
      <alignment vertical="center"/>
    </xf>
    <xf numFmtId="164" fontId="7" fillId="0" borderId="15" applyAlignment="1" pivotButton="0" quotePrefix="0" xfId="1">
      <alignment vertical="center"/>
    </xf>
    <xf numFmtId="0" fontId="7" fillId="0" borderId="20" applyAlignment="1" pivotButton="0" quotePrefix="0" xfId="0">
      <alignment horizontal="center" vertical="center"/>
    </xf>
    <xf numFmtId="165" fontId="7" fillId="0" borderId="20" applyAlignment="1" pivotButton="0" quotePrefix="0" xfId="1">
      <alignment vertical="center"/>
    </xf>
    <xf numFmtId="165" fontId="7" fillId="0" borderId="23" applyAlignment="1" pivotButton="0" quotePrefix="0" xfId="1">
      <alignment horizontal="center" vertical="center"/>
    </xf>
    <xf numFmtId="166" fontId="7" fillId="0" borderId="23" applyAlignment="1" pivotButton="0" quotePrefix="0" xfId="0">
      <alignment vertical="center"/>
    </xf>
    <xf numFmtId="0" fontId="7" fillId="0" borderId="2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9" fillId="0" borderId="6" applyAlignment="1" pivotButton="0" quotePrefix="0" xfId="0">
      <alignment vertical="center"/>
    </xf>
    <xf numFmtId="165" fontId="7" fillId="0" borderId="23" applyAlignment="1" pivotButton="0" quotePrefix="1" xfId="1">
      <alignment horizontal="right" vertical="center"/>
    </xf>
    <xf numFmtId="167" fontId="7" fillId="2" borderId="20" applyAlignment="1" pivotButton="0" quotePrefix="0" xfId="0">
      <alignment horizontal="center" vertical="center"/>
    </xf>
    <xf numFmtId="0" fontId="11" fillId="0" borderId="7" applyAlignment="1" pivotButton="0" quotePrefix="0" xfId="0">
      <alignment vertical="center"/>
    </xf>
    <xf numFmtId="0" fontId="6" fillId="0" borderId="25" applyAlignment="1" pivotButton="0" quotePrefix="0" xfId="0">
      <alignment vertical="center"/>
    </xf>
    <xf numFmtId="0" fontId="7" fillId="0" borderId="26" applyAlignment="1" pivotButton="0" quotePrefix="0" xfId="0">
      <alignment vertical="center"/>
    </xf>
    <xf numFmtId="164" fontId="7" fillId="0" borderId="27" applyAlignment="1" pivotButton="0" quotePrefix="0" xfId="1">
      <alignment horizontal="center" vertical="center" shrinkToFit="1"/>
    </xf>
    <xf numFmtId="167" fontId="7" fillId="2" borderId="27" applyAlignment="1" pivotButton="0" quotePrefix="0" xfId="0">
      <alignment horizontal="right" vertical="center"/>
    </xf>
    <xf numFmtId="168" fontId="7" fillId="0" borderId="27" applyAlignment="1" pivotButton="0" quotePrefix="0" xfId="1">
      <alignment horizontal="right" vertical="center"/>
    </xf>
    <xf numFmtId="165" fontId="7" fillId="0" borderId="20" applyAlignment="1" pivotButton="0" quotePrefix="1" xfId="1">
      <alignment horizontal="right" vertical="center"/>
    </xf>
    <xf numFmtId="0" fontId="7" fillId="0" borderId="27" applyAlignment="1" pivotButton="0" quotePrefix="0" xfId="0">
      <alignment horizontal="right" vertical="center"/>
    </xf>
    <xf numFmtId="0" fontId="7" fillId="0" borderId="22" applyAlignment="1" pivotButton="0" quotePrefix="0" xfId="1">
      <alignment horizontal="center" vertical="center"/>
    </xf>
    <xf numFmtId="0" fontId="7" fillId="0" borderId="22" applyAlignment="1" pivotButton="0" quotePrefix="0" xfId="1">
      <alignment horizontal="center" vertical="center"/>
    </xf>
    <xf numFmtId="164" fontId="7" fillId="0" borderId="22" applyAlignment="1" pivotButton="0" quotePrefix="0" xfId="1">
      <alignment horizontal="center" vertical="center"/>
    </xf>
    <xf numFmtId="0" fontId="6" fillId="0" borderId="22" applyAlignment="1" pivotButton="0" quotePrefix="0" xfId="1">
      <alignment vertical="center" shrinkToFit="1"/>
    </xf>
    <xf numFmtId="0" fontId="6" fillId="0" borderId="18" applyAlignment="1" pivotButton="0" quotePrefix="0" xfId="0">
      <alignment horizontal="left" vertical="center"/>
    </xf>
    <xf numFmtId="169" fontId="6" fillId="0" borderId="23" applyAlignment="1" pivotButton="0" quotePrefix="0" xfId="1">
      <alignment horizontal="right" vertical="center"/>
    </xf>
    <xf numFmtId="168" fontId="7" fillId="0" borderId="27" applyAlignment="1" pivotButton="0" quotePrefix="0" xfId="1">
      <alignment horizontal="right" vertical="center" wrapText="1" shrinkToFit="1"/>
    </xf>
    <xf numFmtId="168" fontId="7" fillId="0" borderId="27" applyAlignment="1" pivotButton="0" quotePrefix="0" xfId="1">
      <alignment horizontal="right" vertical="center" shrinkToFit="1"/>
    </xf>
    <xf numFmtId="168" fontId="7" fillId="0" borderId="30" applyAlignment="1" pivotButton="0" quotePrefix="0" xfId="1">
      <alignment vertical="center"/>
    </xf>
    <xf numFmtId="165" fontId="7" fillId="0" borderId="20" applyAlignment="1" pivotButton="0" quotePrefix="0" xfId="1">
      <alignment horizontal="center" vertical="center"/>
    </xf>
    <xf numFmtId="169" fontId="6" fillId="0" borderId="23" applyAlignment="1" pivotButton="0" quotePrefix="0" xfId="1">
      <alignment horizontal="center" vertical="center"/>
    </xf>
    <xf numFmtId="0" fontId="7" fillId="0" borderId="27" applyAlignment="1" pivotButton="0" quotePrefix="0" xfId="1">
      <alignment horizontal="center" vertical="center" shrinkToFit="1"/>
    </xf>
    <xf numFmtId="165" fontId="6" fillId="0" borderId="23" applyAlignment="1" pivotButton="0" quotePrefix="0" xfId="1">
      <alignment horizontal="center" vertical="center"/>
    </xf>
    <xf numFmtId="0" fontId="7" fillId="0" borderId="27" applyAlignment="1" pivotButton="0" quotePrefix="0" xfId="0">
      <alignment horizontal="center" vertical="center"/>
    </xf>
    <xf numFmtId="168" fontId="7" fillId="0" borderId="27" applyAlignment="1" pivotButton="0" quotePrefix="0" xfId="0">
      <alignment horizontal="right" vertical="center"/>
    </xf>
    <xf numFmtId="169" fontId="7" fillId="0" borderId="23" applyAlignment="1" pivotButton="0" quotePrefix="0" xfId="0">
      <alignment vertical="center"/>
    </xf>
    <xf numFmtId="0" fontId="8" fillId="0" borderId="20" applyAlignment="1" pivotButton="0" quotePrefix="0" xfId="0">
      <alignment horizontal="center" vertical="center" shrinkToFit="1"/>
    </xf>
    <xf numFmtId="170" fontId="7" fillId="2" borderId="20" applyAlignment="1" pivotButton="0" quotePrefix="0" xfId="0">
      <alignment horizontal="center" vertical="center"/>
    </xf>
    <xf numFmtId="168" fontId="7" fillId="0" borderId="27" applyAlignment="1" pivotButton="0" quotePrefix="0" xfId="1">
      <alignment horizontal="center" vertical="center" shrinkToFit="1"/>
    </xf>
    <xf numFmtId="0" fontId="7" fillId="0" borderId="7" applyAlignment="1" pivotButton="0" quotePrefix="0" xfId="0">
      <alignment horizontal="center" vertical="center"/>
    </xf>
    <xf numFmtId="0" fontId="6" fillId="0" borderId="5" applyAlignment="1" pivotButton="0" quotePrefix="0" xfId="0">
      <alignment vertical="top"/>
    </xf>
    <xf numFmtId="0" fontId="6" fillId="0" borderId="6" applyAlignment="1" pivotButton="0" quotePrefix="0" xfId="0">
      <alignment vertical="top"/>
    </xf>
    <xf numFmtId="168" fontId="0" fillId="0" borderId="0" applyAlignment="1" pivotButton="0" quotePrefix="0" xfId="0">
      <alignment vertical="center"/>
    </xf>
    <xf numFmtId="171" fontId="0" fillId="0" borderId="0" applyAlignment="1" pivotButton="0" quotePrefix="0" xfId="0">
      <alignment vertical="center"/>
    </xf>
    <xf numFmtId="0" fontId="7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shrinkToFi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5" fontId="7" fillId="0" borderId="37" applyAlignment="1" pivotButton="0" quotePrefix="0" xfId="1">
      <alignment horizontal="right" vertical="center"/>
    </xf>
    <xf numFmtId="165" fontId="7" fillId="0" borderId="38" applyAlignment="1" pivotButton="0" quotePrefix="0" xfId="1">
      <alignment horizontal="right" vertical="center"/>
    </xf>
    <xf numFmtId="0" fontId="6" fillId="0" borderId="36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165" fontId="7" fillId="0" borderId="37" applyAlignment="1" pivotButton="0" quotePrefix="0" xfId="1">
      <alignment horizontal="center" vertical="center"/>
    </xf>
    <xf numFmtId="0" fontId="13" fillId="0" borderId="36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70" fontId="7" fillId="0" borderId="2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7" fillId="0" borderId="21" applyAlignment="1" pivotButton="0" quotePrefix="0" xfId="1">
      <alignment horizontal="center" vertical="center" shrinkToFit="1"/>
    </xf>
    <xf numFmtId="0" fontId="7" fillId="0" borderId="0" applyAlignment="1" pivotButton="0" quotePrefix="0" xfId="1">
      <alignment horizontal="center" vertical="center" shrinkToFit="1"/>
    </xf>
    <xf numFmtId="0" fontId="7" fillId="0" borderId="22" applyAlignment="1" pivotButton="0" quotePrefix="0" xfId="1">
      <alignment horizontal="center" vertical="center" shrinkToFit="1"/>
    </xf>
    <xf numFmtId="164" fontId="7" fillId="0" borderId="21" applyAlignment="1" pivotButton="0" quotePrefix="0" xfId="1">
      <alignment horizontal="center" vertical="center" wrapText="1" shrinkToFit="1"/>
    </xf>
    <xf numFmtId="164" fontId="7" fillId="0" borderId="0" applyAlignment="1" pivotButton="0" quotePrefix="0" xfId="1">
      <alignment horizontal="center" vertical="center" shrinkToFit="1"/>
    </xf>
    <xf numFmtId="164" fontId="7" fillId="0" borderId="22" applyAlignment="1" pivotButton="0" quotePrefix="0" xfId="1">
      <alignment horizontal="center" vertical="center" shrinkToFit="1"/>
    </xf>
    <xf numFmtId="0" fontId="10" fillId="0" borderId="10" applyAlignment="1" pivotButton="0" quotePrefix="0" xfId="0">
      <alignment horizontal="center" vertical="center" shrinkToFit="1"/>
    </xf>
    <xf numFmtId="0" fontId="10" fillId="0" borderId="9" applyAlignment="1" pivotButton="0" quotePrefix="0" xfId="0">
      <alignment vertical="center" shrinkToFit="1"/>
    </xf>
    <xf numFmtId="0" fontId="10" fillId="0" borderId="11" applyAlignment="1" pivotButton="0" quotePrefix="0" xfId="0">
      <alignment vertical="center" shrinkToFit="1"/>
    </xf>
    <xf numFmtId="164" fontId="12" fillId="0" borderId="21" applyAlignment="1" pivotButton="0" quotePrefix="0" xfId="1">
      <alignment horizontal="left" vertical="center" shrinkToFit="1"/>
    </xf>
    <xf numFmtId="164" fontId="12" fillId="0" borderId="0" applyAlignment="1" pivotButton="0" quotePrefix="0" xfId="1">
      <alignment horizontal="left" vertical="center" shrinkToFit="1"/>
    </xf>
    <xf numFmtId="164" fontId="12" fillId="0" borderId="22" applyAlignment="1" pivotButton="0" quotePrefix="0" xfId="1">
      <alignment horizontal="left" vertical="center" shrinkToFit="1"/>
    </xf>
    <xf numFmtId="164" fontId="7" fillId="0" borderId="21" applyAlignment="1" pivotButton="0" quotePrefix="0" xfId="1">
      <alignment horizontal="left" vertical="center" shrinkToFit="1"/>
    </xf>
    <xf numFmtId="164" fontId="7" fillId="0" borderId="0" applyAlignment="1" pivotButton="0" quotePrefix="0" xfId="1">
      <alignment horizontal="left" vertical="center" shrinkToFit="1"/>
    </xf>
    <xf numFmtId="164" fontId="7" fillId="0" borderId="22" applyAlignment="1" pivotButton="0" quotePrefix="0" xfId="1">
      <alignment horizontal="left" vertical="center" shrinkToFit="1"/>
    </xf>
    <xf numFmtId="164" fontId="7" fillId="0" borderId="21" applyAlignment="1" pivotButton="0" quotePrefix="0" xfId="1">
      <alignment vertical="center" shrinkToFit="1"/>
    </xf>
    <xf numFmtId="0" fontId="7" fillId="0" borderId="0" applyAlignment="1" pivotButton="0" quotePrefix="0" xfId="0">
      <alignment vertical="center" shrinkToFit="1"/>
    </xf>
    <xf numFmtId="0" fontId="7" fillId="0" borderId="22" applyAlignment="1" pivotButton="0" quotePrefix="0" xfId="0">
      <alignment vertical="center" shrinkToFit="1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 shrinkToFit="1"/>
    </xf>
    <xf numFmtId="0" fontId="7" fillId="0" borderId="0" applyAlignment="1" pivotButton="0" quotePrefix="0" xfId="0">
      <alignment horizontal="left" vertical="center" shrinkToFit="1"/>
    </xf>
    <xf numFmtId="0" fontId="7" fillId="0" borderId="8" applyAlignment="1" pivotButton="0" quotePrefix="0" xfId="0">
      <alignment horizontal="left" vertical="center" shrinkToFit="1"/>
    </xf>
    <xf numFmtId="0" fontId="7" fillId="0" borderId="7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shrinkToFit="1"/>
    </xf>
    <xf numFmtId="0" fontId="7" fillId="2" borderId="7" applyAlignment="1" pivotButton="0" quotePrefix="0" xfId="0">
      <alignment horizontal="left" vertical="center" shrinkToFit="1"/>
    </xf>
    <xf numFmtId="0" fontId="7" fillId="2" borderId="0" applyAlignment="1" pivotButton="0" quotePrefix="0" xfId="0">
      <alignment horizontal="left" vertical="center" shrinkToFit="1"/>
    </xf>
    <xf numFmtId="0" fontId="7" fillId="2" borderId="8" applyAlignment="1" pivotButton="0" quotePrefix="0" xfId="0">
      <alignment horizontal="left" vertical="center" shrinkToFit="1"/>
    </xf>
    <xf numFmtId="0" fontId="6" fillId="0" borderId="10" applyAlignment="1" pivotButton="0" quotePrefix="0" xfId="0">
      <alignment horizontal="left" vertical="center" shrinkToFit="1"/>
    </xf>
    <xf numFmtId="0" fontId="6" fillId="0" borderId="9" applyAlignment="1" pivotButton="0" quotePrefix="0" xfId="0">
      <alignment horizontal="left" vertical="center" shrinkToFit="1"/>
    </xf>
    <xf numFmtId="0" fontId="8" fillId="0" borderId="9" applyAlignment="1" pivotButton="0" quotePrefix="0" xfId="0">
      <alignment horizontal="left" vertical="center" shrinkToFit="1"/>
    </xf>
    <xf numFmtId="0" fontId="8" fillId="0" borderId="11" applyAlignment="1" pivotButton="0" quotePrefix="0" xfId="0">
      <alignment horizontal="left" vertical="center" shrinkToFit="1"/>
    </xf>
    <xf numFmtId="0" fontId="7" fillId="0" borderId="9" applyAlignment="1" pivotButton="0" quotePrefix="0" xfId="0">
      <alignment horizontal="left" vertical="center"/>
    </xf>
    <xf numFmtId="0" fontId="7" fillId="0" borderId="9" applyAlignment="1" pivotButton="0" quotePrefix="0" xfId="0">
      <alignment vertical="center" shrinkToFit="1"/>
    </xf>
    <xf numFmtId="0" fontId="9" fillId="0" borderId="13" applyAlignment="1" pivotButton="0" quotePrefix="0" xfId="0">
      <alignment horizontal="center" vertical="center" shrinkToFit="1"/>
    </xf>
    <xf numFmtId="0" fontId="9" fillId="0" borderId="2" applyAlignment="1" pivotButton="0" quotePrefix="0" xfId="0">
      <alignment horizontal="center" vertical="center" shrinkToFit="1"/>
    </xf>
    <xf numFmtId="0" fontId="9" fillId="0" borderId="14" applyAlignment="1" pivotButton="0" quotePrefix="0" xfId="0">
      <alignment horizontal="center" vertical="center" shrinkToFit="1"/>
    </xf>
    <xf numFmtId="0" fontId="9" fillId="0" borderId="17" applyAlignment="1" pivotButton="0" quotePrefix="0" xfId="0">
      <alignment horizontal="center" vertical="center" shrinkToFit="1"/>
    </xf>
    <xf numFmtId="0" fontId="9" fillId="0" borderId="5" applyAlignment="1" pivotButton="0" quotePrefix="0" xfId="0">
      <alignment horizontal="center" vertical="center" shrinkToFit="1"/>
    </xf>
    <xf numFmtId="0" fontId="9" fillId="0" borderId="18" applyAlignment="1" pivotButton="0" quotePrefix="0" xfId="0">
      <alignment horizontal="center" vertical="center" shrinkToFit="1"/>
    </xf>
    <xf numFmtId="0" fontId="6" fillId="0" borderId="12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7" fillId="2" borderId="4" applyAlignment="1" pivotButton="0" quotePrefix="0" xfId="0">
      <alignment horizontal="left" vertical="center"/>
    </xf>
    <xf numFmtId="0" fontId="7" fillId="2" borderId="5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0" borderId="11" applyAlignment="1" pivotButton="0" quotePrefix="0" xfId="0">
      <alignment vertical="center" shrinkToFit="1"/>
    </xf>
    <xf numFmtId="0" fontId="6" fillId="0" borderId="12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7" fillId="0" borderId="34" applyAlignment="1" pivotButton="0" quotePrefix="0" xfId="1">
      <alignment horizontal="center" vertical="center"/>
    </xf>
    <xf numFmtId="0" fontId="7" fillId="0" borderId="32" applyAlignment="1" pivotButton="0" quotePrefix="0" xfId="1">
      <alignment horizontal="center" vertical="center"/>
    </xf>
    <xf numFmtId="0" fontId="7" fillId="0" borderId="33" applyAlignment="1" pivotButton="0" quotePrefix="0" xfId="1">
      <alignment horizontal="center" vertical="center"/>
    </xf>
    <xf numFmtId="0" fontId="6" fillId="0" borderId="35" applyAlignment="1" pivotButton="0" quotePrefix="0" xfId="0">
      <alignment horizontal="center" vertical="center" wrapText="1"/>
    </xf>
    <xf numFmtId="0" fontId="6" fillId="0" borderId="39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shrinkToFit="1"/>
    </xf>
    <xf numFmtId="0" fontId="9" fillId="0" borderId="16" applyAlignment="1" pivotButton="0" quotePrefix="0" xfId="0">
      <alignment horizontal="center" vertical="center" shrinkToFit="1"/>
    </xf>
    <xf numFmtId="0" fontId="7" fillId="0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7" fillId="0" borderId="28" applyAlignment="1" pivotButton="0" quotePrefix="0" xfId="1">
      <alignment horizontal="center" vertical="center" wrapText="1" shrinkToFit="1"/>
    </xf>
    <xf numFmtId="164" fontId="7" fillId="0" borderId="29" applyAlignment="1" pivotButton="0" quotePrefix="0" xfId="1">
      <alignment horizontal="center" vertical="center" wrapText="1" shrinkToFit="1"/>
    </xf>
    <xf numFmtId="0" fontId="7" fillId="0" borderId="28" applyAlignment="1" pivotButton="0" quotePrefix="0" xfId="1">
      <alignment horizontal="center" vertical="center" shrinkToFit="1"/>
    </xf>
    <xf numFmtId="0" fontId="7" fillId="0" borderId="31" applyAlignment="1" pivotButton="0" quotePrefix="0" xfId="1">
      <alignment horizontal="center" vertical="center" shrinkToFit="1"/>
    </xf>
    <xf numFmtId="168" fontId="7" fillId="0" borderId="28" applyAlignment="1" pivotButton="0" quotePrefix="0" xfId="1">
      <alignment horizontal="center" vertical="center" shrinkToFit="1"/>
    </xf>
    <xf numFmtId="168" fontId="7" fillId="0" borderId="29" applyAlignment="1" pivotButton="0" quotePrefix="0" xfId="1">
      <alignment horizontal="center" vertical="center" shrinkToFit="1"/>
    </xf>
    <xf numFmtId="0" fontId="5" fillId="0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7" fillId="0" borderId="42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7" pivotButton="0" quotePrefix="0" xfId="0"/>
    <xf numFmtId="0" fontId="7" fillId="0" borderId="42" applyAlignment="1" pivotButton="0" quotePrefix="0" xfId="0">
      <alignment horizontal="left" vertical="center" wrapText="1" shrinkToFit="1"/>
    </xf>
    <xf numFmtId="0" fontId="7" fillId="0" borderId="42" applyAlignment="1" pivotButton="0" quotePrefix="0" xfId="0">
      <alignment horizontal="left" vertical="center" shrinkToFit="1"/>
    </xf>
    <xf numFmtId="0" fontId="7" fillId="2" borderId="42" applyAlignment="1" pivotButton="0" quotePrefix="0" xfId="0">
      <alignment horizontal="left" vertical="center" shrinkToFit="1"/>
    </xf>
    <xf numFmtId="0" fontId="7" fillId="2" borderId="46" applyAlignment="1" pivotButton="0" quotePrefix="0" xfId="0">
      <alignment horizontal="left" vertical="center"/>
    </xf>
    <xf numFmtId="0" fontId="6" fillId="0" borderId="43" applyAlignment="1" pivotButton="0" quotePrefix="0" xfId="0">
      <alignment horizontal="left" vertical="center" shrinkToFit="1"/>
    </xf>
    <xf numFmtId="0" fontId="0" fillId="0" borderId="9" pivotButton="0" quotePrefix="0" xfId="0"/>
    <xf numFmtId="0" fontId="0" fillId="0" borderId="11" pivotButton="0" quotePrefix="0" xfId="0"/>
    <xf numFmtId="0" fontId="6" fillId="0" borderId="45" applyAlignment="1" pivotButton="0" quotePrefix="0" xfId="0">
      <alignment horizontal="center" vertical="center" wrapText="1"/>
    </xf>
    <xf numFmtId="0" fontId="0" fillId="0" borderId="14" pivotButton="0" quotePrefix="0" xfId="0"/>
    <xf numFmtId="0" fontId="9" fillId="0" borderId="44" applyAlignment="1" pivotButton="0" quotePrefix="0" xfId="0">
      <alignment horizontal="center" vertical="center" shrinkToFit="1"/>
    </xf>
    <xf numFmtId="0" fontId="6" fillId="0" borderId="44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7" pivotButton="0" quotePrefix="0" xfId="0"/>
    <xf numFmtId="0" fontId="0" fillId="0" borderId="16" pivotButton="0" quotePrefix="0" xfId="0"/>
    <xf numFmtId="0" fontId="0" fillId="0" borderId="19" pivotButton="0" quotePrefix="0" xfId="0"/>
    <xf numFmtId="0" fontId="7" fillId="0" borderId="35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4" fontId="7" fillId="0" borderId="12" applyAlignment="1" pivotButton="0" quotePrefix="0" xfId="1">
      <alignment vertical="center"/>
    </xf>
    <xf numFmtId="164" fontId="7" fillId="0" borderId="15" applyAlignment="1" pivotButton="0" quotePrefix="0" xfId="1">
      <alignment vertical="center"/>
    </xf>
    <xf numFmtId="0" fontId="0" fillId="0" borderId="22" pivotButton="0" quotePrefix="0" xfId="0"/>
    <xf numFmtId="164" fontId="7" fillId="0" borderId="20" applyAlignment="1" pivotButton="0" quotePrefix="0" xfId="1">
      <alignment horizontal="center" vertical="center" wrapText="1" shrinkToFit="1"/>
    </xf>
    <xf numFmtId="167" fontId="7" fillId="2" borderId="20" applyAlignment="1" pivotButton="0" quotePrefix="0" xfId="0">
      <alignment horizontal="center" vertical="center"/>
    </xf>
    <xf numFmtId="169" fontId="6" fillId="0" borderId="23" applyAlignment="1" pivotButton="0" quotePrefix="0" xfId="1">
      <alignment horizontal="right" vertical="center"/>
    </xf>
    <xf numFmtId="0" fontId="7" fillId="0" borderId="20" applyAlignment="1" pivotButton="0" quotePrefix="0" xfId="1">
      <alignment horizontal="center" vertical="center" shrinkToFit="1"/>
    </xf>
    <xf numFmtId="169" fontId="6" fillId="0" borderId="23" applyAlignment="1" pivotButton="0" quotePrefix="0" xfId="1">
      <alignment horizontal="center" vertical="center"/>
    </xf>
    <xf numFmtId="170" fontId="7" fillId="0" borderId="20" applyAlignment="1" pivotButton="0" quotePrefix="0" xfId="0">
      <alignment horizontal="center" vertical="center"/>
    </xf>
    <xf numFmtId="170" fontId="7" fillId="2" borderId="20" applyAlignment="1" pivotButton="0" quotePrefix="0" xfId="0">
      <alignment horizontal="center" vertical="center"/>
    </xf>
    <xf numFmtId="164" fontId="7" fillId="0" borderId="20" applyAlignment="1" pivotButton="0" quotePrefix="0" xfId="1">
      <alignment vertical="center" shrinkToFit="1"/>
    </xf>
    <xf numFmtId="164" fontId="7" fillId="0" borderId="22" applyAlignment="1" pivotButton="0" quotePrefix="0" xfId="1">
      <alignment horizontal="center" vertical="center"/>
    </xf>
    <xf numFmtId="164" fontId="12" fillId="0" borderId="20" applyAlignment="1" pivotButton="0" quotePrefix="0" xfId="1">
      <alignment horizontal="left" vertical="center" shrinkToFit="1"/>
    </xf>
    <xf numFmtId="166" fontId="7" fillId="0" borderId="0" applyAlignment="1" pivotButton="0" quotePrefix="0" xfId="0">
      <alignment vertical="center"/>
    </xf>
    <xf numFmtId="166" fontId="7" fillId="0" borderId="23" applyAlignment="1" pivotButton="0" quotePrefix="0" xfId="0">
      <alignment vertical="center"/>
    </xf>
    <xf numFmtId="164" fontId="7" fillId="0" borderId="20" applyAlignment="1" pivotButton="0" quotePrefix="0" xfId="1">
      <alignment horizontal="left" vertical="center" shrinkToFit="1"/>
    </xf>
    <xf numFmtId="169" fontId="7" fillId="0" borderId="23" applyAlignment="1" pivotButton="0" quotePrefix="0" xfId="0">
      <alignment vertical="center"/>
    </xf>
    <xf numFmtId="0" fontId="10" fillId="0" borderId="43" applyAlignment="1" pivotButton="0" quotePrefix="0" xfId="0">
      <alignment horizontal="center" vertical="center" shrinkToFit="1"/>
    </xf>
    <xf numFmtId="0" fontId="6" fillId="0" borderId="44" applyAlignment="1" pivotButton="0" quotePrefix="0" xfId="0">
      <alignment horizontal="center" vertical="center" shrinkToFit="1"/>
    </xf>
    <xf numFmtId="0" fontId="0" fillId="0" borderId="39" pivotButton="0" quotePrefix="0" xfId="0"/>
    <xf numFmtId="0" fontId="0" fillId="0" borderId="29" pivotButton="0" quotePrefix="0" xfId="0"/>
    <xf numFmtId="168" fontId="7" fillId="0" borderId="27" applyAlignment="1" pivotButton="0" quotePrefix="0" xfId="0">
      <alignment horizontal="right" vertical="center"/>
    </xf>
    <xf numFmtId="168" fontId="7" fillId="0" borderId="27" applyAlignment="1" pivotButton="0" quotePrefix="0" xfId="1">
      <alignment horizontal="right" vertical="center"/>
    </xf>
    <xf numFmtId="168" fontId="0" fillId="0" borderId="0" applyAlignment="1" pivotButton="0" quotePrefix="0" xfId="0">
      <alignment vertical="center"/>
    </xf>
    <xf numFmtId="171" fontId="0" fillId="0" borderId="0" applyAlignment="1" pivotButton="0" quotePrefix="0" xfId="0">
      <alignment vertical="center"/>
    </xf>
    <xf numFmtId="164" fontId="7" fillId="0" borderId="27" applyAlignment="1" pivotButton="0" quotePrefix="0" xfId="1">
      <alignment horizontal="center" vertical="center" wrapText="1" shrinkToFit="1"/>
    </xf>
    <xf numFmtId="164" fontId="7" fillId="0" borderId="27" applyAlignment="1" pivotButton="0" quotePrefix="0" xfId="1">
      <alignment horizontal="center" vertical="center" shrinkToFit="1"/>
    </xf>
    <xf numFmtId="168" fontId="7" fillId="0" borderId="27" applyAlignment="1" pivotButton="0" quotePrefix="0" xfId="1">
      <alignment horizontal="right" vertical="center" wrapText="1" shrinkToFit="1"/>
    </xf>
    <xf numFmtId="167" fontId="7" fillId="2" borderId="27" applyAlignment="1" pivotButton="0" quotePrefix="0" xfId="0">
      <alignment horizontal="right" vertical="center"/>
    </xf>
    <xf numFmtId="0" fontId="0" fillId="0" borderId="31" pivotButton="0" quotePrefix="0" xfId="0"/>
    <xf numFmtId="168" fontId="7" fillId="0" borderId="27" applyAlignment="1" pivotButton="0" quotePrefix="0" xfId="1">
      <alignment horizontal="right" vertical="center" shrinkToFit="1"/>
    </xf>
    <xf numFmtId="168" fontId="7" fillId="0" borderId="27" applyAlignment="1" pivotButton="0" quotePrefix="0" xfId="1">
      <alignment horizontal="center" vertical="center" shrinkToFit="1"/>
    </xf>
    <xf numFmtId="0" fontId="7" fillId="0" borderId="30" applyAlignment="1" pivotButton="0" quotePrefix="0" xfId="1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168" fontId="7" fillId="0" borderId="30" applyAlignment="1" pivotButton="0" quotePrefix="0" xfId="1">
      <alignment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132521</colOff>
      <row>38</row>
      <rowOff>77303</rowOff>
    </from>
    <to>
      <col>7</col>
      <colOff>609828</colOff>
      <row>42</row>
      <rowOff>103424</rowOff>
    </to>
    <pic>
      <nvPicPr>
        <cNvPr id="2" name="그림 1" descr="대양전기 영문사인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41869" y="8067260"/>
          <a:ext cx="1973698" cy="8055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5</col>
      <colOff>40471</colOff>
      <row>27</row>
      <rowOff>71521</rowOff>
    </from>
    <to>
      <col>7</col>
      <colOff>640222</colOff>
      <row>31</row>
      <rowOff>106532</rowOff>
    </to>
    <pic>
      <nvPicPr>
        <cNvPr id="2" name="그림 1" descr="대양전기 영문사인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51118" y="7878286"/>
          <a:ext cx="1992455" cy="80877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tabSelected="1" view="pageBreakPreview" zoomScale="115" zoomScaleNormal="115" zoomScaleSheetLayoutView="115" workbookViewId="0">
      <selection activeCell="A1" sqref="A1:I2"/>
    </sheetView>
  </sheetViews>
  <sheetFormatPr baseColWidth="8" defaultRowHeight="14"/>
  <cols>
    <col width="11.33203125" customWidth="1" min="1" max="1"/>
    <col width="4.6640625" customWidth="1" min="2" max="2"/>
    <col width="8.6640625" customWidth="1" min="4" max="4"/>
    <col width="6.1640625" customWidth="1" min="5" max="5"/>
    <col width="11.6640625" customWidth="1" min="6" max="6"/>
    <col width="8" customWidth="1" min="7" max="7"/>
    <col width="9.58203125" customWidth="1" min="8" max="8"/>
    <col width="12.6640625" customWidth="1" min="9" max="9"/>
    <col width="12.33203125" customWidth="1" min="10" max="10"/>
  </cols>
  <sheetData>
    <row r="1" ht="15" customFormat="1" customHeight="1" s="1" thickTop="1">
      <c r="A1" s="174" t="inlineStr">
        <is>
          <t>COMMERCIAL INVOICE</t>
        </is>
      </c>
      <c r="B1" s="175" t="n"/>
      <c r="C1" s="175" t="n"/>
      <c r="D1" s="175" t="n"/>
      <c r="E1" s="175" t="n"/>
      <c r="F1" s="175" t="n"/>
      <c r="G1" s="175" t="n"/>
      <c r="H1" s="175" t="n"/>
      <c r="I1" s="176" t="n"/>
    </row>
    <row r="2" ht="15" customFormat="1" customHeight="1" s="1" thickBot="1">
      <c r="A2" s="177" t="n"/>
      <c r="B2" s="178" t="n"/>
      <c r="C2" s="178" t="n"/>
      <c r="D2" s="178" t="n"/>
      <c r="E2" s="178" t="n"/>
      <c r="F2" s="178" t="n"/>
      <c r="G2" s="178" t="n"/>
      <c r="H2" s="178" t="n"/>
      <c r="I2" s="179" t="n"/>
    </row>
    <row r="3" ht="17.15" customFormat="1" customHeight="1" s="1" thickTop="1">
      <c r="A3" s="5" t="inlineStr">
        <is>
          <t>SHIPPER/MANUFACTURER</t>
        </is>
      </c>
      <c r="B3" s="6" t="n"/>
      <c r="C3" s="6" t="n"/>
      <c r="D3" s="6" t="n"/>
      <c r="E3" s="6" t="n"/>
      <c r="F3" s="5" t="inlineStr">
        <is>
          <t>INVOICE NO : TS-260504-01</t>
        </is>
      </c>
      <c r="G3" s="6" t="n"/>
      <c r="H3" s="6" t="n"/>
      <c r="I3" s="7" t="n"/>
    </row>
    <row r="4" ht="17.15" customFormat="1" customHeight="1" s="1" thickBot="1">
      <c r="A4" s="68" t="inlineStr">
        <is>
          <t>DAEYANG ELECTRIC CO LTD</t>
        </is>
      </c>
      <c r="B4" s="69" t="n"/>
      <c r="C4" s="69" t="n"/>
      <c r="D4" s="69" t="n"/>
      <c r="E4" s="8" t="n"/>
      <c r="F4" s="36" t="inlineStr">
        <is>
          <t>INVOICE DATE : 4th.May.2026</t>
        </is>
      </c>
      <c r="G4" s="70" t="n"/>
      <c r="H4" s="70" t="n"/>
      <c r="I4" s="9" t="n"/>
    </row>
    <row r="5" ht="17.15" customFormat="1" customHeight="1" s="1" thickTop="1">
      <c r="A5" s="71" t="inlineStr">
        <is>
          <t xml:space="preserve">16 Venture-ro 100beon-gil, Yeonsu-gu, </t>
        </is>
      </c>
      <c r="B5" s="70" t="n"/>
      <c r="C5" s="70" t="n"/>
      <c r="D5" s="70" t="n"/>
      <c r="E5" s="70" t="n"/>
      <c r="F5" s="5" t="inlineStr">
        <is>
          <t>SELLER</t>
        </is>
      </c>
      <c r="G5" s="6" t="n"/>
      <c r="H5" s="6" t="n"/>
      <c r="I5" s="7" t="n"/>
    </row>
    <row r="6" ht="17.15" customFormat="1" customHeight="1" s="1">
      <c r="A6" s="71" t="inlineStr">
        <is>
          <t>Incheon, SOUTH KOREA. (22013)</t>
        </is>
      </c>
      <c r="B6" s="70" t="n"/>
      <c r="C6" s="70" t="n"/>
      <c r="D6" s="70" t="n"/>
      <c r="E6" s="70" t="n"/>
      <c r="F6" s="180" t="inlineStr">
        <is>
          <t>245 Jangpyeong-ro, Saha-gu, Busan, 
Republic of Korea (49438)</t>
        </is>
      </c>
      <c r="I6" s="181" t="n"/>
    </row>
    <row r="7" ht="17.15" customFormat="1" customHeight="1" s="1">
      <c r="A7" s="71" t="inlineStr">
        <is>
          <t>TEL: +82 32 830 5520</t>
        </is>
      </c>
      <c r="B7" s="70" t="n"/>
      <c r="C7" s="70" t="n"/>
      <c r="D7" s="70" t="n"/>
      <c r="E7" s="70" t="n"/>
      <c r="F7" s="182" t="n"/>
      <c r="I7" s="181" t="n"/>
    </row>
    <row r="8" ht="17.15" customFormat="1" customHeight="1" s="1" thickBot="1">
      <c r="A8" s="10" t="inlineStr">
        <is>
          <t>FAX: +82 32 830 5509</t>
        </is>
      </c>
      <c r="B8" s="11" t="n"/>
      <c r="C8" s="11" t="n"/>
      <c r="D8" s="11" t="n"/>
      <c r="E8" s="12" t="n"/>
      <c r="F8" s="38" t="inlineStr">
        <is>
          <t>TEL: +82 2 3458 7634</t>
        </is>
      </c>
      <c r="G8" s="64" t="n"/>
      <c r="H8" s="64" t="n"/>
      <c r="I8" s="65" t="n"/>
    </row>
    <row r="9" ht="16.5" customFormat="1" customHeight="1" s="1" thickTop="1">
      <c r="A9" s="5" t="inlineStr">
        <is>
          <t>CONSIGNEE</t>
        </is>
      </c>
      <c r="B9" s="6" t="n"/>
      <c r="C9" s="6" t="n"/>
      <c r="D9" s="6" t="n"/>
      <c r="E9" s="7" t="n"/>
      <c r="F9" s="14" t="inlineStr">
        <is>
          <t>BUYER(NOTIFY PARTY)</t>
        </is>
      </c>
      <c r="G9" s="70" t="n"/>
      <c r="H9" s="70" t="n"/>
      <c r="I9" s="9" t="n"/>
    </row>
    <row r="10" ht="16.5" customFormat="1" customHeight="1" s="1">
      <c r="A10" s="183" t="inlineStr">
        <is>
          <t>HL MANDO CORPORATION MEXICO SA DE CV</t>
        </is>
      </c>
      <c r="E10" s="181" t="n"/>
      <c r="F10" s="70" t="n"/>
      <c r="G10" s="70" t="n"/>
      <c r="H10" s="70" t="n"/>
      <c r="I10" s="9" t="n"/>
    </row>
    <row r="11" ht="24" customFormat="1" customHeight="1" s="1">
      <c r="A11" s="183" t="inlineStr">
        <is>
          <t>BLVD. CAMPESTRE 301, ZONA INDUSTRIAL,</t>
        </is>
      </c>
      <c r="E11" s="181" t="n"/>
      <c r="F11" s="70" t="n"/>
      <c r="G11" s="70" t="n"/>
      <c r="H11" s="70" t="n"/>
      <c r="I11" s="9" t="n"/>
    </row>
    <row r="12" ht="16.5" customFormat="1" customHeight="1" s="1">
      <c r="A12" s="183" t="inlineStr">
        <is>
          <t>ARTEAGA, COAH MEX. C.P. 25350</t>
        </is>
      </c>
      <c r="E12" s="181" t="n"/>
      <c r="F12" s="70" t="inlineStr">
        <is>
          <t>SAME AS CONSIGNEE</t>
        </is>
      </c>
      <c r="G12" s="70" t="n"/>
      <c r="H12" s="70" t="n"/>
      <c r="I12" s="9" t="n"/>
    </row>
    <row r="13" ht="16.5" customFormat="1" customHeight="1" s="1">
      <c r="A13" s="184" t="inlineStr">
        <is>
          <t>RFC MCM150605IW9</t>
        </is>
      </c>
      <c r="E13" s="181" t="n"/>
      <c r="F13" s="70" t="n"/>
      <c r="G13" s="70" t="n"/>
      <c r="H13" s="70" t="n"/>
      <c r="I13" s="9" t="n"/>
    </row>
    <row r="14" ht="16.5" customFormat="1" customHeight="1" s="1">
      <c r="A14" s="185" t="inlineStr">
        <is>
          <t>PIC: DONGWOOK KIM  MOBILE: +52 81 3416 1187</t>
        </is>
      </c>
      <c r="E14" s="181" t="n"/>
      <c r="F14" s="70" t="n"/>
      <c r="G14" s="70" t="n"/>
      <c r="H14" s="70" t="n"/>
      <c r="I14" s="9" t="n"/>
    </row>
    <row r="15" ht="16.5" customFormat="1" customHeight="1" s="1" thickBot="1">
      <c r="A15" s="185" t="n"/>
      <c r="E15" s="181" t="n"/>
      <c r="F15" s="70" t="n"/>
      <c r="G15" s="70" t="n"/>
      <c r="H15" s="70" t="n"/>
      <c r="I15" s="9" t="n"/>
    </row>
    <row r="16" ht="16.5" customFormat="1" customHeight="1" s="1" thickBot="1" thickTop="1">
      <c r="A16" s="186" t="inlineStr">
        <is>
          <t>EMAIL: KIMDONG.WOOK@HLCOMPANY.COM</t>
        </is>
      </c>
      <c r="E16" s="181" t="n"/>
      <c r="F16" s="5" t="inlineStr">
        <is>
          <t>COUNTRY OF ORIGIN</t>
        </is>
      </c>
      <c r="G16" s="6" t="n"/>
      <c r="H16" s="15" t="inlineStr">
        <is>
          <t>KOREA</t>
        </is>
      </c>
      <c r="I16" s="7" t="n"/>
    </row>
    <row r="17" ht="16.5" customFormat="1" customHeight="1" s="1" thickBot="1" thickTop="1">
      <c r="A17" s="177" t="n"/>
      <c r="B17" s="178" t="n"/>
      <c r="C17" s="178" t="n"/>
      <c r="D17" s="178" t="n"/>
      <c r="E17" s="179" t="n"/>
      <c r="F17" s="187" t="inlineStr">
        <is>
          <t>VESSEL / FLIGHT : VESSEL</t>
        </is>
      </c>
      <c r="G17" s="188" t="n"/>
      <c r="H17" s="188" t="n"/>
      <c r="I17" s="189" t="n"/>
    </row>
    <row r="18" ht="17.15" customFormat="1" customHeight="1" s="1" thickBot="1" thickTop="1">
      <c r="A18" s="16" t="inlineStr">
        <is>
          <t xml:space="preserve">FROM  </t>
        </is>
      </c>
      <c r="B18" s="136" t="inlineStr">
        <is>
          <t>Incheon, KOREA</t>
        </is>
      </c>
      <c r="C18" s="188" t="n"/>
      <c r="D18" s="188" t="n"/>
      <c r="E18" s="17" t="n"/>
      <c r="F18" s="13" t="inlineStr">
        <is>
          <t>TERMS OF DELIVERY  &amp;  PAYMENT</t>
        </is>
      </c>
      <c r="G18" s="70" t="n"/>
      <c r="H18" s="70" t="n"/>
      <c r="I18" s="9" t="n"/>
    </row>
    <row r="19" ht="17.15" customFormat="1" customHeight="1" s="1" thickBot="1" thickTop="1">
      <c r="A19" s="16" t="inlineStr">
        <is>
          <t>TO</t>
        </is>
      </c>
      <c r="B19" s="137" t="inlineStr">
        <is>
          <t>MEXICO</t>
        </is>
      </c>
      <c r="C19" s="188" t="n"/>
      <c r="D19" s="188" t="n"/>
      <c r="E19" s="17" t="n"/>
      <c r="F19" s="10" t="inlineStr">
        <is>
          <t>CIF</t>
        </is>
      </c>
      <c r="G19" s="11" t="n"/>
      <c r="H19" s="11" t="n"/>
      <c r="I19" s="12" t="n"/>
    </row>
    <row r="20" ht="15" customFormat="1" customHeight="1" s="1" thickTop="1">
      <c r="A20" s="190" t="inlineStr">
        <is>
          <t>Category</t>
        </is>
      </c>
      <c r="B20" s="191" t="n"/>
      <c r="C20" s="192" t="inlineStr">
        <is>
          <t xml:space="preserve">DESCRIPTION OF GOODS AND/OR SERVICE </t>
        </is>
      </c>
      <c r="D20" s="175" t="n"/>
      <c r="E20" s="175" t="n"/>
      <c r="F20" s="191" t="n"/>
      <c r="G20" s="193" t="inlineStr">
        <is>
          <t>Q'TY
(EA)</t>
        </is>
      </c>
      <c r="H20" s="193" t="inlineStr">
        <is>
          <t>U/PRICE
(USD)</t>
        </is>
      </c>
      <c r="I20" s="194" t="inlineStr">
        <is>
          <t>AMOUNT
(USD)</t>
        </is>
      </c>
    </row>
    <row r="21" ht="15" customFormat="1" customHeight="1" s="1" thickBot="1">
      <c r="A21" s="177" t="n"/>
      <c r="B21" s="195" t="n"/>
      <c r="C21" s="196" t="n"/>
      <c r="D21" s="178" t="n"/>
      <c r="E21" s="178" t="n"/>
      <c r="F21" s="195" t="n"/>
      <c r="G21" s="197" t="n"/>
      <c r="H21" s="197" t="n"/>
      <c r="I21" s="198" t="n"/>
    </row>
    <row r="22" ht="15" customFormat="1" customHeight="1" s="1" thickTop="1">
      <c r="A22" s="199" t="inlineStr">
        <is>
          <t>Product</t>
        </is>
      </c>
      <c r="B22" s="191" t="n"/>
      <c r="C22" s="200" t="inlineStr">
        <is>
          <t>Pressure sensor</t>
        </is>
      </c>
      <c r="D22" s="175" t="n"/>
      <c r="E22" s="175" t="n"/>
      <c r="F22" s="191" t="n"/>
      <c r="G22" s="18" t="n"/>
      <c r="H22" s="201" t="n"/>
      <c r="I22" s="202" t="n"/>
    </row>
    <row r="23" ht="15" customFormat="1" customHeight="1" s="1">
      <c r="A23" s="85" t="inlineStr">
        <is>
          <t>Brand</t>
        </is>
      </c>
      <c r="B23" s="203" t="n"/>
      <c r="C23" s="204" t="inlineStr">
        <is>
          <t>THE SEN</t>
        </is>
      </c>
      <c r="F23" s="203" t="n"/>
      <c r="G23" s="205" t="n"/>
      <c r="H23" s="22" t="n"/>
      <c r="I23" s="206" t="n"/>
    </row>
    <row r="24" ht="15" customFormat="1" customHeight="1" s="1">
      <c r="A24" s="85" t="inlineStr">
        <is>
          <t>Model name</t>
        </is>
      </c>
      <c r="B24" s="203" t="n"/>
      <c r="C24" s="207" t="inlineStr">
        <is>
          <t>SM100</t>
        </is>
      </c>
      <c r="F24" s="203" t="n"/>
      <c r="G24" s="205" t="n">
        <v>2068</v>
      </c>
      <c r="H24" s="53" t="n">
        <v>5.42</v>
      </c>
      <c r="I24" s="208">
        <f>G24*H24</f>
        <v/>
      </c>
    </row>
    <row r="25" ht="15" customFormat="1" customHeight="1" s="1">
      <c r="A25" s="85" t="inlineStr">
        <is>
          <t>Part number</t>
        </is>
      </c>
      <c r="B25" s="203" t="n"/>
      <c r="C25" s="204" t="inlineStr">
        <is>
          <t>BG6900Z000</t>
        </is>
      </c>
      <c r="F25" s="203" t="n"/>
      <c r="G25" s="21" t="n"/>
      <c r="H25" s="22" t="n"/>
      <c r="I25" s="208" t="n"/>
    </row>
    <row r="26" ht="15" customFormat="1" customHeight="1" s="1">
      <c r="A26" s="85" t="inlineStr">
        <is>
          <t>Model name</t>
        </is>
      </c>
      <c r="B26" s="203" t="n"/>
      <c r="C26" s="207" t="inlineStr">
        <is>
          <t>SM110</t>
        </is>
      </c>
      <c r="F26" s="203" t="n"/>
      <c r="G26" s="205" t="n">
        <v>53768</v>
      </c>
      <c r="H26" s="53" t="n">
        <v>4.27</v>
      </c>
      <c r="I26" s="208">
        <f>G26*H26</f>
        <v/>
      </c>
    </row>
    <row r="27" ht="15" customFormat="1" customHeight="1" s="1">
      <c r="A27" s="85" t="inlineStr">
        <is>
          <t>Part number</t>
        </is>
      </c>
      <c r="B27" s="203" t="n"/>
      <c r="C27" s="204" t="inlineStr">
        <is>
          <t>BG69003800</t>
        </is>
      </c>
      <c r="F27" s="203" t="n"/>
      <c r="G27" s="209" t="n"/>
      <c r="H27" s="22" t="n"/>
      <c r="I27" s="208" t="n"/>
    </row>
    <row r="28" ht="15" customFormat="1" customHeight="1" s="1">
      <c r="A28" s="85" t="n"/>
      <c r="B28" s="203" t="n"/>
      <c r="C28" s="207" t="n"/>
      <c r="F28" s="203" t="n"/>
      <c r="G28" s="210" t="n"/>
      <c r="H28" s="22" t="n"/>
      <c r="I28" s="56" t="n"/>
    </row>
    <row r="29" ht="15" customFormat="1" customHeight="1" s="1">
      <c r="A29" s="85" t="n"/>
      <c r="B29" s="203" t="n"/>
      <c r="C29" s="204" t="n"/>
      <c r="F29" s="203" t="n"/>
      <c r="G29" s="21" t="n"/>
      <c r="H29" s="22" t="n"/>
      <c r="I29" s="23" t="n"/>
    </row>
    <row r="30" ht="15" customFormat="1" customHeight="1" s="2">
      <c r="A30" s="94" t="n"/>
      <c r="B30" s="45" t="n"/>
      <c r="G30" s="209" t="n"/>
      <c r="H30" s="22" t="n"/>
      <c r="I30" s="23" t="n"/>
    </row>
    <row r="31" ht="15" customFormat="1" customHeight="1" s="1">
      <c r="A31" s="72" t="n"/>
      <c r="B31" s="45" t="n"/>
      <c r="C31" s="211" t="inlineStr">
        <is>
          <t xml:space="preserve"> - PALLET SIZE : 1.2MX1.0MX12cm, 7KG </t>
        </is>
      </c>
      <c r="F31" s="203" t="n"/>
      <c r="G31" s="205" t="n"/>
      <c r="H31" s="42" t="n"/>
      <c r="I31" s="34" t="n"/>
    </row>
    <row r="32" ht="15" customFormat="1" customHeight="1" s="1">
      <c r="A32" s="72" t="n"/>
      <c r="B32" s="212" t="n"/>
      <c r="C32" s="213">
        <f>" - BOX AMOUNT : "&amp;TEXT('Packing list'!F24,"0")&amp;"EA"</f>
        <v/>
      </c>
      <c r="F32" s="203" t="n"/>
      <c r="G32" s="21" t="n"/>
      <c r="H32" s="214" t="n"/>
      <c r="I32" s="215" t="n"/>
    </row>
    <row r="33" ht="15" customFormat="1" customHeight="1" s="2">
      <c r="A33" s="94" t="n"/>
      <c r="B33" s="47" t="n"/>
      <c r="C33" s="213" t="inlineStr">
        <is>
          <t xml:space="preserve"> - HS CODE : 9026.20.1190</t>
        </is>
      </c>
      <c r="F33" s="203" t="n"/>
      <c r="G33" s="25" t="n"/>
      <c r="H33" s="70" t="n"/>
      <c r="I33" s="26" t="n"/>
    </row>
    <row r="34" ht="15" customFormat="1" customHeight="1" s="2">
      <c r="A34" s="94" t="n"/>
      <c r="B34" s="47" t="n"/>
      <c r="C34" s="216">
        <f>" - Total gross weight : "&amp;TEXT('Packing list'!H26/1000,"0")&amp;"kg"</f>
        <v/>
      </c>
      <c r="F34" s="203" t="n"/>
      <c r="G34" s="25" t="n"/>
      <c r="H34" s="70" t="n"/>
      <c r="I34" s="26" t="n"/>
    </row>
    <row r="35" ht="15" customFormat="1" customHeight="1" s="2" thickBot="1">
      <c r="A35" s="74" t="n"/>
      <c r="B35" s="48" t="n"/>
      <c r="C35" s="75" t="n"/>
      <c r="D35" s="75" t="n"/>
      <c r="E35" s="75" t="n"/>
      <c r="F35" s="75" t="n"/>
      <c r="G35" s="25" t="n"/>
      <c r="H35" s="70" t="n"/>
      <c r="I35" s="217" t="n"/>
    </row>
    <row r="36" ht="24" customFormat="1" customHeight="1" s="1" thickBot="1" thickTop="1">
      <c r="A36" s="218">
        <f>"TOTAL AMOUNT : Pallet ("&amp;TEXT('Packing list'!F25,"0")&amp;"EA), BOX ("&amp;TEXT('Packing list'!F24,"0")&amp;"EA)   USD "&amp;TEXT(SUM(I24,I26),"#,##0.00")</f>
        <v/>
      </c>
      <c r="B36" s="188" t="n"/>
      <c r="C36" s="188" t="n"/>
      <c r="D36" s="188" t="n"/>
      <c r="E36" s="188" t="n"/>
      <c r="F36" s="188" t="n"/>
      <c r="G36" s="188" t="n"/>
      <c r="H36" s="188" t="n"/>
      <c r="I36" s="189" t="n"/>
    </row>
    <row r="37" ht="15" customFormat="1" customHeight="1" s="1" thickTop="1">
      <c r="A37" s="13" t="n"/>
      <c r="B37" s="76" t="n"/>
      <c r="C37" s="76" t="n"/>
      <c r="D37" s="77" t="n"/>
      <c r="E37" s="78" t="n"/>
      <c r="F37" s="78" t="n"/>
      <c r="G37" s="78" t="n"/>
      <c r="H37" s="78" t="n"/>
      <c r="I37" s="27" t="n"/>
    </row>
    <row r="38" ht="15" customFormat="1" customHeight="1" s="1">
      <c r="A38" s="72" t="n"/>
      <c r="B38" s="78" t="n"/>
      <c r="C38" s="78" t="n"/>
      <c r="D38" s="78" t="n"/>
      <c r="E38" s="78" t="n"/>
      <c r="F38" s="79" t="inlineStr">
        <is>
          <t>SIGNED BY</t>
        </is>
      </c>
      <c r="G38" s="78" t="n"/>
      <c r="H38" s="78" t="n"/>
      <c r="I38" s="27" t="n"/>
    </row>
    <row r="39" ht="15" customFormat="1" customHeight="1" s="1">
      <c r="A39" s="13" t="n"/>
      <c r="B39" s="76" t="n"/>
      <c r="C39" s="76" t="n"/>
      <c r="D39" s="80" t="n"/>
      <c r="E39" s="78" t="n"/>
      <c r="F39" s="80" t="n"/>
      <c r="G39" s="78" t="n"/>
      <c r="H39" s="78" t="n"/>
      <c r="I39" s="27" t="n"/>
    </row>
    <row r="40" ht="15" customFormat="1" customHeight="1" s="1">
      <c r="A40" s="13" t="n"/>
      <c r="B40" s="76" t="n"/>
      <c r="C40" s="76" t="n"/>
      <c r="D40" s="80" t="n"/>
      <c r="E40" s="76" t="n"/>
      <c r="F40" s="80" t="n"/>
      <c r="G40" s="78" t="n"/>
      <c r="H40" s="78" t="n"/>
      <c r="I40" s="27" t="n"/>
    </row>
    <row r="41" ht="15" customFormat="1" customHeight="1" s="1">
      <c r="A41" s="13" t="n"/>
      <c r="B41" s="76" t="n"/>
      <c r="C41" s="76" t="n"/>
      <c r="D41" s="80" t="n"/>
      <c r="E41" s="76" t="n"/>
      <c r="F41" s="78" t="n"/>
      <c r="G41" s="78" t="n"/>
      <c r="H41" s="78" t="n"/>
      <c r="I41" s="27" t="n"/>
    </row>
    <row r="42" ht="15" customFormat="1" customHeight="1" s="1">
      <c r="A42" s="13" t="n"/>
      <c r="B42" s="76" t="n"/>
      <c r="C42" s="76" t="n"/>
      <c r="D42" s="80" t="n"/>
      <c r="E42" s="76" t="n"/>
      <c r="F42" s="78" t="n"/>
      <c r="G42" s="78" t="n"/>
      <c r="H42" s="78" t="n"/>
      <c r="I42" s="27" t="n"/>
    </row>
    <row r="43" ht="15" customFormat="1" customHeight="1" s="1" thickBot="1">
      <c r="A43" s="13" t="n"/>
      <c r="B43" s="76" t="n"/>
      <c r="C43" s="76" t="n"/>
      <c r="D43" s="80" t="n"/>
      <c r="E43" s="76" t="n"/>
      <c r="F43" s="28" t="n"/>
      <c r="G43" s="28" t="n"/>
      <c r="H43" s="28" t="n"/>
      <c r="I43" s="27" t="n"/>
    </row>
    <row r="44" ht="15" customFormat="1" customHeight="1" s="1" thickBot="1">
      <c r="A44" s="29" t="n"/>
      <c r="B44" s="30" t="n"/>
      <c r="C44" s="30" t="n"/>
      <c r="D44" s="31" t="n"/>
      <c r="E44" s="30" t="n"/>
      <c r="F44" s="32" t="n"/>
      <c r="G44" s="32" t="n"/>
      <c r="H44" s="32" t="n"/>
      <c r="I44" s="33" t="n"/>
    </row>
    <row r="45" ht="15" customFormat="1" customHeight="1" s="1" thickTop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 ht="14.5" customFormat="1" customHeight="1" s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 ht="14.5" customFormat="1" customHeight="1" s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 ht="14.5" customFormat="1" customHeight="1" s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 ht="14.5" customFormat="1" customHeight="1" s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 ht="14.5" customFormat="1" customHeight="1" s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14.5" customFormat="1" customHeight="1" s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 ht="14.5" customFormat="1" customHeight="1" s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 ht="14.5" customFormat="1" customHeight="1" s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 ht="14.5" customFormat="1" customHeight="1" s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 ht="14.5" customFormat="1" customHeight="1" s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 ht="1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 ht="1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 ht="1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1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 ht="1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1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 ht="1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1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1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1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1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1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1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1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1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1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1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1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1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1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1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1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1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1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1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1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1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1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1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1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1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1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1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1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 ht="1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1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 ht="1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1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 ht="1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 ht="1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 ht="1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1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 ht="1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 ht="1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</sheetData>
  <mergeCells count="38">
    <mergeCell ref="F6:I7"/>
    <mergeCell ref="A24:B24"/>
    <mergeCell ref="C23:F23"/>
    <mergeCell ref="A15:E15"/>
    <mergeCell ref="C20:F21"/>
    <mergeCell ref="A11:E11"/>
    <mergeCell ref="C32:F32"/>
    <mergeCell ref="C28:F28"/>
    <mergeCell ref="B19:D19"/>
    <mergeCell ref="A20:B21"/>
    <mergeCell ref="A25:B25"/>
    <mergeCell ref="C34:F34"/>
    <mergeCell ref="A1:I2"/>
    <mergeCell ref="C33:F33"/>
    <mergeCell ref="C24:F24"/>
    <mergeCell ref="A27:B27"/>
    <mergeCell ref="G20:G21"/>
    <mergeCell ref="A26:B26"/>
    <mergeCell ref="A12:E12"/>
    <mergeCell ref="C26:F26"/>
    <mergeCell ref="I20:I21"/>
    <mergeCell ref="C29:F29"/>
    <mergeCell ref="C25:F25"/>
    <mergeCell ref="A14:E14"/>
    <mergeCell ref="A23:B23"/>
    <mergeCell ref="A22:B22"/>
    <mergeCell ref="C22:F22"/>
    <mergeCell ref="C31:F31"/>
    <mergeCell ref="A29:B29"/>
    <mergeCell ref="F17:I17"/>
    <mergeCell ref="A16:E17"/>
    <mergeCell ref="A10:E10"/>
    <mergeCell ref="A36:I36"/>
    <mergeCell ref="A28:B28"/>
    <mergeCell ref="H20:H21"/>
    <mergeCell ref="B18:D18"/>
    <mergeCell ref="A13:E13"/>
    <mergeCell ref="C27:F27"/>
  </mergeCells>
  <printOptions horizontalCentered="1"/>
  <pageMargins left="0.7086614173228347" right="0.7086614173228347" top="0.9448818897637796" bottom="0.7480314960629921" header="0.3149606299212598" footer="0.3149606299212598"/>
  <pageSetup orientation="portrait" paperSize="9" scale="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"/>
  <sheetViews>
    <sheetView view="pageBreakPreview" zoomScale="115" zoomScaleNormal="115" zoomScaleSheetLayoutView="115" workbookViewId="0">
      <selection activeCell="H26" sqref="H26"/>
    </sheetView>
  </sheetViews>
  <sheetFormatPr baseColWidth="8" defaultRowHeight="14"/>
  <cols>
    <col width="11.33203125" customWidth="1" min="1" max="1"/>
    <col width="4.6640625" customWidth="1" min="2" max="2"/>
    <col width="8.6640625" customWidth="1" min="4" max="4"/>
    <col width="6.1640625" customWidth="1" min="5" max="5"/>
    <col width="10.1640625" customWidth="1" min="6" max="6"/>
    <col width="8" customWidth="1" min="7" max="7"/>
    <col width="9.58203125" customWidth="1" min="8" max="8"/>
    <col width="12.6640625" customWidth="1" min="9" max="9"/>
    <col width="9.1640625" bestFit="1" customWidth="1" min="10" max="10"/>
  </cols>
  <sheetData>
    <row r="1" ht="20" customFormat="1" customHeight="1" s="1" thickTop="1">
      <c r="A1" s="174" t="inlineStr">
        <is>
          <t>PACKING LIST</t>
        </is>
      </c>
      <c r="B1" s="175" t="n"/>
      <c r="C1" s="175" t="n"/>
      <c r="D1" s="175" t="n"/>
      <c r="E1" s="175" t="n"/>
      <c r="F1" s="175" t="n"/>
      <c r="G1" s="175" t="n"/>
      <c r="H1" s="175" t="n"/>
      <c r="I1" s="176" t="n"/>
    </row>
    <row r="2" ht="20" customFormat="1" customHeight="1" s="1" thickBot="1">
      <c r="A2" s="177" t="n"/>
      <c r="B2" s="178" t="n"/>
      <c r="C2" s="178" t="n"/>
      <c r="D2" s="178" t="n"/>
      <c r="E2" s="178" t="n"/>
      <c r="F2" s="178" t="n"/>
      <c r="G2" s="178" t="n"/>
      <c r="H2" s="178" t="n"/>
      <c r="I2" s="179" t="n"/>
    </row>
    <row r="3" ht="20" customFormat="1" customHeight="1" s="1" thickTop="1">
      <c r="A3" s="5">
        <f>INVOICE!A3</f>
        <v/>
      </c>
      <c r="B3" s="6" t="n"/>
      <c r="C3" s="6" t="n"/>
      <c r="D3" s="6" t="n"/>
      <c r="E3" s="7" t="n"/>
      <c r="F3" s="5">
        <f>INVOICE!F3</f>
        <v/>
      </c>
      <c r="G3" s="6" t="n"/>
      <c r="H3" s="6" t="n"/>
      <c r="I3" s="7" t="n"/>
    </row>
    <row r="4" ht="20" customFormat="1" customHeight="1" s="1" thickBot="1">
      <c r="A4" s="71">
        <f>INVOICE!A4</f>
        <v/>
      </c>
      <c r="B4" s="69" t="n"/>
      <c r="C4" s="69" t="n"/>
      <c r="D4" s="69" t="n"/>
      <c r="E4" s="8" t="n"/>
      <c r="F4" s="29">
        <f>INVOICE!F4</f>
        <v/>
      </c>
      <c r="G4" s="70" t="n"/>
      <c r="H4" s="70" t="n"/>
      <c r="I4" s="9" t="n"/>
    </row>
    <row r="5" ht="20" customFormat="1" customHeight="1" s="1" thickTop="1">
      <c r="A5" s="71">
        <f>INVOICE!A5</f>
        <v/>
      </c>
      <c r="B5" s="70" t="n"/>
      <c r="C5" s="70" t="n"/>
      <c r="D5" s="70" t="n"/>
      <c r="E5" s="9" t="n"/>
      <c r="F5" s="37" t="inlineStr">
        <is>
          <t>SELLER</t>
        </is>
      </c>
      <c r="G5" s="6" t="n"/>
      <c r="H5" s="6" t="n"/>
      <c r="I5" s="7" t="n"/>
    </row>
    <row r="6" ht="20" customFormat="1" customHeight="1" s="1">
      <c r="A6" s="71">
        <f>INVOICE!A6</f>
        <v/>
      </c>
      <c r="B6" s="70" t="n"/>
      <c r="C6" s="70" t="n"/>
      <c r="D6" s="70" t="n"/>
      <c r="E6" s="9" t="n"/>
      <c r="F6" s="180" t="inlineStr">
        <is>
          <t>245 Jangpyeong-ro, Saha-gu, Busan, 
Republic of Korea (49438)</t>
        </is>
      </c>
      <c r="I6" s="181" t="n"/>
    </row>
    <row r="7" ht="20" customFormat="1" customHeight="1" s="1">
      <c r="A7" s="71">
        <f>INVOICE!A7</f>
        <v/>
      </c>
      <c r="B7" s="70" t="n"/>
      <c r="C7" s="70" t="n"/>
      <c r="D7" s="70" t="n"/>
      <c r="E7" s="9" t="n"/>
      <c r="F7" s="182" t="n"/>
      <c r="I7" s="181" t="n"/>
    </row>
    <row r="8" ht="20" customFormat="1" customHeight="1" s="1" thickBot="1">
      <c r="A8" s="10">
        <f>INVOICE!A8</f>
        <v/>
      </c>
      <c r="B8" s="11" t="n"/>
      <c r="C8" s="11" t="n"/>
      <c r="D8" s="11" t="n"/>
      <c r="E8" s="12" t="n"/>
      <c r="F8" s="38" t="inlineStr">
        <is>
          <t>TEL: +82 2 3458 7634</t>
        </is>
      </c>
      <c r="G8" s="64" t="n"/>
      <c r="H8" s="64" t="n"/>
      <c r="I8" s="65" t="n"/>
    </row>
    <row r="9" ht="20" customFormat="1" customHeight="1" s="1" thickTop="1">
      <c r="A9" s="5" t="inlineStr">
        <is>
          <t>CONSIGNEE</t>
        </is>
      </c>
      <c r="B9" s="6" t="n"/>
      <c r="C9" s="6" t="n"/>
      <c r="D9" s="6" t="n"/>
      <c r="E9" s="7" t="n"/>
      <c r="F9" s="14" t="inlineStr">
        <is>
          <t>BUYER(NOTIFY PARTY)</t>
        </is>
      </c>
      <c r="G9" s="70" t="n"/>
      <c r="H9" s="70" t="n"/>
      <c r="I9" s="9" t="n"/>
    </row>
    <row r="10" ht="20" customFormat="1" customHeight="1" s="1">
      <c r="A10" s="183" t="inlineStr">
        <is>
          <t>HL MANDO CORPORATION MEXICO SA DE CV</t>
        </is>
      </c>
      <c r="E10" s="181" t="n"/>
      <c r="F10" s="70" t="n"/>
      <c r="G10" s="70" t="n"/>
      <c r="H10" s="70" t="n"/>
      <c r="I10" s="9" t="n"/>
    </row>
    <row r="11" ht="20" customFormat="1" customHeight="1" s="1">
      <c r="A11" s="183" t="inlineStr">
        <is>
          <t>BLVD. CAMPESTRE 301, ZONA INDUSTRIAL,</t>
        </is>
      </c>
      <c r="E11" s="181" t="n"/>
      <c r="F11" s="70" t="n"/>
      <c r="G11" s="70" t="n"/>
      <c r="H11" s="70" t="n"/>
      <c r="I11" s="9" t="n"/>
    </row>
    <row r="12" ht="20" customFormat="1" customHeight="1" s="1">
      <c r="A12" s="183" t="inlineStr">
        <is>
          <t>ARTEAGA, COAH MEX. C.P. 25350</t>
        </is>
      </c>
      <c r="E12" s="181" t="n"/>
      <c r="F12" s="70" t="inlineStr">
        <is>
          <t>SAME AS CONSIGNEE</t>
        </is>
      </c>
      <c r="G12" s="70" t="n"/>
      <c r="H12" s="70" t="n"/>
      <c r="I12" s="9" t="n"/>
    </row>
    <row r="13" ht="20" customFormat="1" customHeight="1" s="1">
      <c r="A13" s="184" t="inlineStr">
        <is>
          <t>RFC MCM150605IW9</t>
        </is>
      </c>
      <c r="E13" s="181" t="n"/>
      <c r="F13" s="70" t="n"/>
      <c r="G13" s="70" t="n"/>
      <c r="H13" s="70" t="n"/>
      <c r="I13" s="9" t="n"/>
    </row>
    <row r="14" ht="20" customFormat="1" customHeight="1" s="1">
      <c r="A14" s="185" t="inlineStr">
        <is>
          <t>PIC: DONGWOOK KIM  MOBILE: +52 81 3416 1187</t>
        </is>
      </c>
      <c r="E14" s="181" t="n"/>
      <c r="F14" s="70" t="n"/>
      <c r="G14" s="70" t="n"/>
      <c r="H14" s="70" t="n"/>
      <c r="I14" s="9" t="n"/>
    </row>
    <row r="15" ht="20" customFormat="1" customHeight="1" s="1" thickBot="1">
      <c r="A15" s="185" t="n"/>
      <c r="E15" s="181" t="n"/>
      <c r="F15" s="70" t="n"/>
      <c r="G15" s="70" t="n"/>
      <c r="H15" s="70" t="n"/>
      <c r="I15" s="9" t="n"/>
    </row>
    <row r="16" ht="20" customFormat="1" customHeight="1" s="1" thickBot="1" thickTop="1">
      <c r="A16" s="186" t="inlineStr">
        <is>
          <t>EMAIL: KIMDONG.WOOK@HLCOMPANY.COM</t>
        </is>
      </c>
      <c r="E16" s="181" t="n"/>
      <c r="F16" s="5" t="inlineStr">
        <is>
          <t>COUNTRY OF ORIGIN</t>
        </is>
      </c>
      <c r="G16" s="6" t="n"/>
      <c r="H16" s="15" t="inlineStr">
        <is>
          <t>KOREA</t>
        </is>
      </c>
      <c r="I16" s="7" t="n"/>
    </row>
    <row r="17" ht="20" customFormat="1" customHeight="1" s="1" thickBot="1" thickTop="1">
      <c r="A17" s="177" t="n"/>
      <c r="B17" s="178" t="n"/>
      <c r="C17" s="178" t="n"/>
      <c r="D17" s="178" t="n"/>
      <c r="E17" s="179" t="n"/>
      <c r="F17" s="187" t="inlineStr">
        <is>
          <t>VESSEL / FLIGHT : FLIGHT</t>
        </is>
      </c>
      <c r="G17" s="188" t="n"/>
      <c r="H17" s="188" t="n"/>
      <c r="I17" s="189" t="n"/>
    </row>
    <row r="18" ht="20" customFormat="1" customHeight="1" s="1" thickBot="1" thickTop="1">
      <c r="A18" s="16" t="inlineStr">
        <is>
          <t xml:space="preserve">FROM  </t>
        </is>
      </c>
      <c r="B18" s="136" t="inlineStr">
        <is>
          <t>Incheon, KOREA</t>
        </is>
      </c>
      <c r="C18" s="188" t="n"/>
      <c r="D18" s="188" t="n"/>
      <c r="E18" s="17" t="n"/>
      <c r="F18" s="16" t="inlineStr">
        <is>
          <t>TO</t>
        </is>
      </c>
      <c r="G18" s="156" t="inlineStr">
        <is>
          <t>MEXICO</t>
        </is>
      </c>
      <c r="H18" s="188" t="n"/>
      <c r="I18" s="189" t="n"/>
    </row>
    <row r="19" ht="20" customFormat="1" customHeight="1" s="1" thickTop="1">
      <c r="A19" s="190" t="inlineStr">
        <is>
          <t>SHIPPING 
MARKS</t>
        </is>
      </c>
      <c r="B19" s="219" t="inlineStr">
        <is>
          <t>NO</t>
        </is>
      </c>
      <c r="C19" s="192" t="inlineStr">
        <is>
          <t>Description of Goods</t>
        </is>
      </c>
      <c r="D19" s="191" t="n"/>
      <c r="E19" s="192" t="inlineStr">
        <is>
          <t>Unit</t>
        </is>
      </c>
      <c r="F19" s="192" t="inlineStr">
        <is>
          <t>Quantity</t>
        </is>
      </c>
      <c r="G19" s="193" t="inlineStr">
        <is>
          <t>Net
Weight
(g)</t>
        </is>
      </c>
      <c r="H19" s="193" t="inlineStr">
        <is>
          <t>Gross
Weight
(g)</t>
        </is>
      </c>
      <c r="I19" s="194" t="inlineStr">
        <is>
          <t>Remark</t>
        </is>
      </c>
    </row>
    <row r="20" ht="20" customFormat="1" customHeight="1" s="1" thickBot="1">
      <c r="A20" s="220" t="n"/>
      <c r="B20" s="197" t="n"/>
      <c r="C20" s="196" t="n"/>
      <c r="D20" s="195" t="n"/>
      <c r="E20" s="197" t="n"/>
      <c r="F20" s="197" t="n"/>
      <c r="G20" s="197" t="n"/>
      <c r="H20" s="197" t="n"/>
      <c r="I20" s="198" t="n"/>
    </row>
    <row r="21" ht="20" customFormat="1" customHeight="1" s="1" thickTop="1">
      <c r="A21" s="83" t="n"/>
      <c r="B21" s="60" t="n">
        <v>1</v>
      </c>
      <c r="C21" s="57" t="inlineStr">
        <is>
          <t>SM100</t>
        </is>
      </c>
      <c r="D21" s="221" t="n"/>
      <c r="E21" s="57" t="inlineStr">
        <is>
          <t>ea</t>
        </is>
      </c>
      <c r="F21" s="222">
        <f>INVOICE!G24</f>
        <v/>
      </c>
      <c r="G21" s="43" t="n">
        <v>5.2</v>
      </c>
      <c r="H21" s="223">
        <f>G21*F21</f>
        <v/>
      </c>
      <c r="I21" s="84" t="n"/>
    </row>
    <row r="22" ht="20" customFormat="1" customHeight="1" s="1">
      <c r="A22" s="83" t="n"/>
      <c r="B22" s="60" t="n">
        <v>2</v>
      </c>
      <c r="C22" s="57" t="inlineStr">
        <is>
          <t>SM110</t>
        </is>
      </c>
      <c r="D22" s="221" t="n"/>
      <c r="E22" s="57" t="inlineStr">
        <is>
          <t>ea</t>
        </is>
      </c>
      <c r="F22" s="222">
        <f>INVOICE!G26</f>
        <v/>
      </c>
      <c r="G22" s="43" t="n">
        <v>5.2</v>
      </c>
      <c r="H22" s="223">
        <f>G22*F22</f>
        <v/>
      </c>
      <c r="I22" s="84" t="n"/>
      <c r="J22" s="224" t="n"/>
      <c r="K22" s="225" t="n"/>
    </row>
    <row r="23" ht="20" customFormat="1" customHeight="1" s="1">
      <c r="A23" s="85" t="n"/>
      <c r="B23" s="60" t="n">
        <v>3</v>
      </c>
      <c r="C23" s="226" t="inlineStr">
        <is>
          <t>PE Tray</t>
        </is>
      </c>
      <c r="D23" s="221" t="n"/>
      <c r="E23" s="227" t="inlineStr">
        <is>
          <t>ea</t>
        </is>
      </c>
      <c r="F23" s="228">
        <f>F24*11</f>
        <v/>
      </c>
      <c r="G23" s="229" t="n">
        <v>155</v>
      </c>
      <c r="H23" s="223">
        <f>G23*F23</f>
        <v/>
      </c>
      <c r="I23" s="86" t="n"/>
    </row>
    <row r="24" ht="20" customFormat="1" customHeight="1" s="1">
      <c r="A24" s="85" t="n"/>
      <c r="B24" s="60" t="n">
        <v>4</v>
      </c>
      <c r="C24" s="170" t="inlineStr">
        <is>
          <t>Box</t>
        </is>
      </c>
      <c r="D24" s="230" t="n"/>
      <c r="E24" s="55" t="inlineStr">
        <is>
          <t>ea</t>
        </is>
      </c>
      <c r="F24" s="231">
        <f>ROUNDUP((F21+F22)/1034,0)</f>
        <v/>
      </c>
      <c r="G24" s="43" t="n">
        <v>800</v>
      </c>
      <c r="H24" s="223">
        <f>G24*F24</f>
        <v/>
      </c>
      <c r="I24" s="81" t="n"/>
    </row>
    <row r="25" ht="20" customFormat="1" customHeight="1" s="1">
      <c r="A25" s="87" t="n"/>
      <c r="B25" s="60" t="n">
        <v>5</v>
      </c>
      <c r="C25" s="232" t="inlineStr">
        <is>
          <t>Pallet</t>
        </is>
      </c>
      <c r="D25" s="221" t="n"/>
      <c r="E25" s="232" t="inlineStr">
        <is>
          <t>ea</t>
        </is>
      </c>
      <c r="F25" s="231">
        <f>ROUNDUP(F24/27,0)</f>
        <v/>
      </c>
      <c r="G25" s="222" t="n">
        <v>7200</v>
      </c>
      <c r="H25" s="223">
        <f>G25*F25</f>
        <v/>
      </c>
      <c r="I25" s="81" t="n"/>
    </row>
    <row r="26" ht="20" customFormat="1" customHeight="1" s="1">
      <c r="A26" s="88" t="n"/>
      <c r="B26" s="233" t="inlineStr">
        <is>
          <t>Total gross weight</t>
        </is>
      </c>
      <c r="C26" s="234" t="n"/>
      <c r="D26" s="234" t="n"/>
      <c r="E26" s="234" t="n"/>
      <c r="F26" s="234" t="n"/>
      <c r="G26" s="235" t="n"/>
      <c r="H26" s="236">
        <f>SUM(H21:H25)</f>
        <v/>
      </c>
      <c r="I26" s="82" t="n"/>
    </row>
    <row r="27" ht="15" customFormat="1" customHeight="1" s="1">
      <c r="A27" s="72" t="n"/>
      <c r="H27" s="78" t="n"/>
      <c r="I27" s="27" t="n"/>
    </row>
    <row r="28" ht="15" customFormat="1" customHeight="1" s="1">
      <c r="A28" s="13" t="n"/>
      <c r="H28" s="78" t="n"/>
      <c r="I28" s="27" t="n"/>
    </row>
    <row r="29" ht="15" customFormat="1" customHeight="1" s="1">
      <c r="A29" s="13" t="n"/>
      <c r="H29" s="78" t="n"/>
      <c r="I29" s="27" t="n"/>
    </row>
    <row r="30" ht="15" customFormat="1" customHeight="1" s="1">
      <c r="A30" s="13" t="n"/>
      <c r="H30" s="78" t="n"/>
      <c r="I30" s="27" t="n"/>
    </row>
    <row r="31" ht="15" customFormat="1" customHeight="1" s="1">
      <c r="A31" s="13" t="n"/>
      <c r="H31" s="78" t="n"/>
      <c r="I31" s="27" t="n"/>
    </row>
    <row r="32" ht="15" customFormat="1" customHeight="1" s="1" thickBot="1">
      <c r="A32" s="13" t="n"/>
      <c r="B32" s="76" t="n"/>
      <c r="C32" s="76" t="n"/>
      <c r="D32" s="80" t="n"/>
      <c r="E32" s="76" t="n"/>
      <c r="F32" s="28" t="n"/>
      <c r="G32" s="28" t="n"/>
      <c r="H32" s="28" t="n"/>
      <c r="I32" s="27" t="n"/>
    </row>
    <row r="33" ht="15" customFormat="1" customHeight="1" s="1" thickBot="1">
      <c r="A33" s="29" t="n"/>
      <c r="B33" s="30" t="n"/>
      <c r="C33" s="30" t="n"/>
      <c r="D33" s="31" t="n"/>
      <c r="E33" s="30" t="n"/>
      <c r="F33" s="32" t="n"/>
      <c r="G33" s="32" t="n"/>
      <c r="H33" s="32" t="n"/>
      <c r="I33" s="33" t="n"/>
    </row>
    <row r="34" ht="15" customFormat="1" customHeight="1" s="1" thickTop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 ht="14.5" customFormat="1" customHeight="1" s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 ht="14.5" customFormat="1" customHeight="1" s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 ht="14.5" customFormat="1" customHeight="1" s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 ht="14.5" customFormat="1" customHeight="1" s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 ht="14.5" customFormat="1" customHeight="1" s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 ht="14.5" customFormat="1" customHeight="1" s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 ht="14.5" customFormat="1" customHeight="1" s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 ht="14.5" customFormat="1" customHeight="1" s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 ht="14.5" customFormat="1" customHeight="1" s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 ht="14.5" customFormat="1" customHeight="1" s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 ht="1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 ht="1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 ht="1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 ht="1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 ht="1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 ht="1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 ht="1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 ht="1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 ht="1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 ht="1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 ht="1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 ht="1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 ht="1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 ht="1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1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 ht="1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1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 ht="1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1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1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1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1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1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1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1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1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1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1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1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1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1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1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1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1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1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1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1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1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1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1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1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1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1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1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</sheetData>
  <mergeCells count="26">
    <mergeCell ref="F6:I7"/>
    <mergeCell ref="C24:D24"/>
    <mergeCell ref="A15:E15"/>
    <mergeCell ref="A11:E11"/>
    <mergeCell ref="G18:I18"/>
    <mergeCell ref="E19:E20"/>
    <mergeCell ref="G19:G20"/>
    <mergeCell ref="C25:D25"/>
    <mergeCell ref="C19:D20"/>
    <mergeCell ref="A1:I2"/>
    <mergeCell ref="C22:D22"/>
    <mergeCell ref="B19:B20"/>
    <mergeCell ref="H19:H20"/>
    <mergeCell ref="A12:E12"/>
    <mergeCell ref="C21:D21"/>
    <mergeCell ref="B26:G26"/>
    <mergeCell ref="A14:E14"/>
    <mergeCell ref="I19:I20"/>
    <mergeCell ref="C23:D23"/>
    <mergeCell ref="A19:A20"/>
    <mergeCell ref="F19:F20"/>
    <mergeCell ref="F17:I17"/>
    <mergeCell ref="A10:E10"/>
    <mergeCell ref="A16:E17"/>
    <mergeCell ref="B18:D18"/>
    <mergeCell ref="A13:E13"/>
  </mergeCells>
  <printOptions horizontalCentered="1"/>
  <pageMargins left="0.7086614173228347" right="0.7086614173228347" top="0.9448818897637796" bottom="0.7480314960629921" header="0.3149606299212598" footer="0.3149606299212598"/>
  <pageSetup orientation="portrait" paperSize="9" scale="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이진호</dc:creator>
  <dcterms:created xmlns:dcterms="http://purl.org/dc/terms/" xmlns:xsi="http://www.w3.org/2001/XMLSchema-instance" xsi:type="dcterms:W3CDTF">2013-10-23T08:04:15Z</dcterms:created>
  <dcterms:modified xmlns:dcterms="http://purl.org/dc/terms/" xmlns:xsi="http://www.w3.org/2001/XMLSchema-instance" xsi:type="dcterms:W3CDTF">2026-05-20T03:45:12Z</dcterms:modified>
  <cp:lastModifiedBy>김서정</cp:lastModifiedBy>
  <cp:lastPrinted>2026-02-18T23:22:25Z</cp:lastPrinted>
</cp:coreProperties>
</file>